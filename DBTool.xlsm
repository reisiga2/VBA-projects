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mYar\Dropbox\DB Tool\VBA Tool\Final Product\"/>
    </mc:Choice>
  </mc:AlternateContent>
  <bookViews>
    <workbookView xWindow="0" yWindow="0" windowWidth="24000" windowHeight="9135" firstSheet="1" activeTab="1"/>
  </bookViews>
  <sheets>
    <sheet name="Saved Data" sheetId="1" state="veryHidden" r:id="rId1"/>
    <sheet name="Report" sheetId="2" r:id="rId2"/>
  </sheets>
  <definedNames>
    <definedName name="Characteristics">'Saved Data'!$D$18:$E$31</definedName>
    <definedName name="DepartmentGoal">'Saved Data'!$E$7:$E$14</definedName>
    <definedName name="_xlnm.Print_Area" localSheetId="1">Report!$C$1:$E$138</definedName>
    <definedName name="SuitTable">'Saved Data'!$C$223:$E$228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0" i="1" l="1"/>
  <c r="H103" i="1" l="1"/>
  <c r="H104" i="1" s="1"/>
  <c r="H105" i="1" s="1"/>
  <c r="H106" i="1" s="1"/>
  <c r="H107" i="1" s="1"/>
  <c r="H108" i="1" s="1"/>
  <c r="H109" i="1" s="1"/>
  <c r="H110" i="1" s="1"/>
  <c r="C69" i="1"/>
  <c r="C70" i="1" s="1"/>
  <c r="C71" i="1" s="1"/>
  <c r="C72" i="1" s="1"/>
  <c r="C68" i="1"/>
  <c r="B21" i="1"/>
  <c r="B22" i="1" s="1"/>
  <c r="B23" i="1" s="1"/>
  <c r="B24" i="1" s="1"/>
  <c r="B25" i="1" s="1"/>
  <c r="B26" i="1" s="1"/>
  <c r="B27" i="1" s="1"/>
  <c r="B28" i="1" s="1"/>
  <c r="B29" i="1" s="1"/>
  <c r="B30" i="1" s="1"/>
  <c r="B31" i="1" s="1"/>
  <c r="B20" i="1"/>
</calcChain>
</file>

<file path=xl/sharedStrings.xml><?xml version="1.0" encoding="utf-8"?>
<sst xmlns="http://schemas.openxmlformats.org/spreadsheetml/2006/main" count="431" uniqueCount="247">
  <si>
    <t>Project Characteristics (1)</t>
  </si>
  <si>
    <t>Project Name</t>
  </si>
  <si>
    <t>Overall Strategic Goals</t>
  </si>
  <si>
    <t>Reduce Project Delivery Time</t>
  </si>
  <si>
    <t xml:space="preserve">Introduce Innovation Through Facilitating and Expediting the Implementation of New Technologies </t>
  </si>
  <si>
    <t>Align Project Goals (Quality, Schedule, Congestion Mitigation, etc.) with Contract Requirements</t>
  </si>
  <si>
    <t>Improve Risk Allocation</t>
  </si>
  <si>
    <t>Improve Constructability</t>
  </si>
  <si>
    <t>Improve Cost Reliability</t>
  </si>
  <si>
    <t>Reduce Owner Resources</t>
  </si>
  <si>
    <t>Lower Negative Impact on Public</t>
  </si>
  <si>
    <t>List Additional Goals</t>
  </si>
  <si>
    <t>Project Characteristics (2)</t>
  </si>
  <si>
    <t xml:space="preserve">Project Location: </t>
  </si>
  <si>
    <t xml:space="preserve">Project Corridor: </t>
  </si>
  <si>
    <t xml:space="preserve">Estimated Budget: </t>
  </si>
  <si>
    <t xml:space="preserve">Estimated Duration: </t>
  </si>
  <si>
    <t xml:space="preserve">Required Delivery Date: </t>
  </si>
  <si>
    <t xml:space="preserve">Sources of Project Funding: </t>
  </si>
  <si>
    <t xml:space="preserve">Major Features of Work: </t>
  </si>
  <si>
    <t xml:space="preserve">Schedule Milestones: </t>
  </si>
  <si>
    <t xml:space="preserve">Project Stakeholders: </t>
  </si>
  <si>
    <t xml:space="preserve">Major Challenges: </t>
  </si>
  <si>
    <t xml:space="preserve">Main Sources of Risk: </t>
  </si>
  <si>
    <t xml:space="preserve">Safety Issues: </t>
  </si>
  <si>
    <t xml:space="preserve">Traffic Management Issues: </t>
  </si>
  <si>
    <t>How Closely interrelated are the major features?</t>
  </si>
  <si>
    <t>Project Goals</t>
  </si>
  <si>
    <t>Generic Project Goals</t>
  </si>
  <si>
    <t>Reduce the procurement time</t>
  </si>
  <si>
    <t>Shorten the Project Delivery time</t>
  </si>
  <si>
    <t>Establish a more-realistic project schedule</t>
  </si>
  <si>
    <t>Complete the project on schedule</t>
  </si>
  <si>
    <t>Accelerate start of the project revenue</t>
  </si>
  <si>
    <t>Accelerate opening of the project to the public</t>
  </si>
  <si>
    <t>Maximize the use of available funding</t>
  </si>
  <si>
    <t>Minimize the impact on the public with the use of expedited construction process</t>
  </si>
  <si>
    <t>Other Generic Goals</t>
  </si>
  <si>
    <t>Delivery Cost</t>
  </si>
  <si>
    <t>Establish project cost</t>
  </si>
  <si>
    <t xml:space="preserve">Minimize project cost </t>
  </si>
  <si>
    <t>Minimize project cost growth</t>
  </si>
  <si>
    <t>Reduce procurement cost</t>
  </si>
  <si>
    <t>Other</t>
  </si>
  <si>
    <t>Innovation</t>
  </si>
  <si>
    <t>Promote innovation</t>
  </si>
  <si>
    <t>Obtain services/expertise beyond in-house capabilities</t>
  </si>
  <si>
    <t>Quality, Safety and Functionality</t>
  </si>
  <si>
    <t xml:space="preserve">Enhance quality </t>
  </si>
  <si>
    <t xml:space="preserve">Enhance constructability </t>
  </si>
  <si>
    <t>Enhance the control and oversight over the design quality</t>
  </si>
  <si>
    <r>
      <rPr>
        <sz val="7"/>
        <color theme="1"/>
        <rFont val="Times New Roman"/>
        <family val="1"/>
      </rPr>
      <t xml:space="preserve"> </t>
    </r>
    <r>
      <rPr>
        <sz val="11"/>
        <color theme="1"/>
        <rFont val="Times New Roman"/>
        <family val="1"/>
      </rPr>
      <t>Maximize the life cycle performance of the project</t>
    </r>
  </si>
  <si>
    <t>Maximize capacity and mobility improvements</t>
  </si>
  <si>
    <t>Obtain the maximum project scope with the fixed budget</t>
  </si>
  <si>
    <t>Maximize safety of workers and traveling public during construction</t>
  </si>
  <si>
    <t>Minimize inconvenience to the traveling public during construction</t>
  </si>
  <si>
    <t>Minimize the impact on environment</t>
  </si>
  <si>
    <t>SWOT</t>
  </si>
  <si>
    <t>Project Delivery Schedule</t>
  </si>
  <si>
    <t>Strengths</t>
  </si>
  <si>
    <t>Weaknesses</t>
  </si>
  <si>
    <t>The single point of responsibility (i.e., one contract) reduces the procurement time</t>
  </si>
  <si>
    <t>The Request for Proposal (RFP) development process can become lengthy due to the time required to define technical requirements and expectations</t>
  </si>
  <si>
    <t>Project delivery can be shortened due to concurrent design and construction processes</t>
  </si>
  <si>
    <t>Establishing Quality Assurance Programs for design and construction that are understood and accepted by all stakeholders is time-consuming</t>
  </si>
  <si>
    <t>The contractor’s input into the design process helps the Design Build team establish a more realistic project schedule</t>
  </si>
  <si>
    <t>The Department and other stakeholders need to understand and commit to an expeditious review of design</t>
  </si>
  <si>
    <t>The project schedule is contractually established in Design Build proposals before detailed design plans are completed</t>
  </si>
  <si>
    <t>Additional Weaknesses</t>
  </si>
  <si>
    <t>The collaboration and coordination between the designer and the contractor helps the Design Build team secure a project schedule before detailed design completion</t>
  </si>
  <si>
    <t>Rank Effect of Weaknesses on Project</t>
  </si>
  <si>
    <t>It reduces the chances of project delays caused by the disputes between the Department and Design Build teams</t>
  </si>
  <si>
    <t>Additional Stengths</t>
  </si>
  <si>
    <t>Rank Effect of Strength on Project</t>
  </si>
  <si>
    <t xml:space="preserve">Opportunities </t>
  </si>
  <si>
    <t>Threats</t>
  </si>
  <si>
    <t>It enables the Department to maximize the use of available funds</t>
  </si>
  <si>
    <t>Undefined events or conditions found after procurement, but during design, can impact schedule</t>
  </si>
  <si>
    <t>It enables the Department to issue RFQ and RFP, award the contract and issue notice to proceed with preliminary design (i.e., let the project) prior to the conclusion of the NEPA process</t>
  </si>
  <si>
    <t>By awarding the contract prior the completion of NEPA process, the Department assumes the risk of project delay and/or contract termination</t>
  </si>
  <si>
    <t>It enables the Department to allow the Design Build team to proceed with final design and construction for any projects, or portions thereof, for which the NEPA process has been completed</t>
  </si>
  <si>
    <t>The Design Build team’s internal conflicts can adversely impact the project delivery schedule</t>
  </si>
  <si>
    <t>It enables the Department to shift the schedule risk to the Design Build team</t>
  </si>
  <si>
    <t>Defining the project scope with clear definitions, requirements and expectations may delay project procurement</t>
  </si>
  <si>
    <t>It enables the Department to fast-track projects that are behind the schedule in the Plan Development Process (PDP)</t>
  </si>
  <si>
    <t>Development of a comprehensive risk management plan (risk identification, assessment, allocation and mitigation) may delay project procurement</t>
  </si>
  <si>
    <t>It enables the contractor to work closely with the designer to procure long-lead items early in the design process</t>
  </si>
  <si>
    <t xml:space="preserve">Additional Threats </t>
  </si>
  <si>
    <t>It enables the contractor to start working on early construction activities, such as construction mobilization, before the detailed design completion</t>
  </si>
  <si>
    <t>Rank Effect of Threats on Project</t>
  </si>
  <si>
    <t>It enables the contractor to deliver the project in multiple phases using the phased design</t>
  </si>
  <si>
    <t>It enables the contractor to start construction prior to final Right of Way (ROW), utilities and railroads agreements</t>
  </si>
  <si>
    <t>If authorized, the Department can utilize an A-plus-B(i.e., Cost plus Schedule) contracting method to include the project delivery schedule in selection of the Design Build team</t>
  </si>
  <si>
    <t>It enables the use of expedited construction process in order to minimize the impact on the public</t>
  </si>
  <si>
    <t>The Department may use the Design Build team’s expertise in Right of Way acquisition and Utilities Coordination services to expedite project delivery</t>
  </si>
  <si>
    <t>Additional Opportunities</t>
  </si>
  <si>
    <t>Rank Effect of Opportunities on Project</t>
  </si>
  <si>
    <t>Strength</t>
  </si>
  <si>
    <t>The collaboration and coordination between the designer and the contractor helps the Design Build team identify and optimize innovative designs and construction methods or techniques</t>
  </si>
  <si>
    <t>It requires desired solutions to complex projects to be well-defined through technical requirements and expectations, which are typically difficult to do</t>
  </si>
  <si>
    <t xml:space="preserve">The single point of responsibility and early team integration enable the Design Build team to smoothly and effectively implement innovative solutions </t>
  </si>
  <si>
    <t>Defining and evaluating qualitative aspects of design (e.g., aesthetics) can be challenging</t>
  </si>
  <si>
    <t>Constructability reviews and Value Engineering (VE) can be done simultaneous to the design process</t>
  </si>
  <si>
    <t>Cost and time constraints may inhibit innovation</t>
  </si>
  <si>
    <t>For simple and less complex projects, the prospects for innovation are limited</t>
  </si>
  <si>
    <t>Opportunities</t>
  </si>
  <si>
    <t xml:space="preserve">It enables the Department to effectively deliver complex projects such as projects with a number of primary features tightly interrelated and/or closely located, projects with construction staging issues and projects with unique or unusual conditions  </t>
  </si>
  <si>
    <r>
      <rPr>
        <sz val="7"/>
        <color theme="1"/>
        <rFont val="Times New Roman"/>
        <family val="1"/>
      </rPr>
      <t xml:space="preserve"> </t>
    </r>
    <r>
      <rPr>
        <sz val="11"/>
        <color theme="1"/>
        <rFont val="Times New Roman"/>
        <family val="1"/>
      </rPr>
      <t>Innovation can be limited if the contractor does not allow the designer to have a legitimate seat at the table with the owner (i.e., the contractor relegates the designer to a back office design role only)</t>
    </r>
  </si>
  <si>
    <t xml:space="preserve">It enables the Department to enhance innovation through the release of draft RFPs and receipt of comments and requests for clarification </t>
  </si>
  <si>
    <t>Some innovative solutions may not be implementable within the time and budget limits of the project</t>
  </si>
  <si>
    <t>It enables the Department to enhance innovation through the confidential pre-approved Alternative Technical Concepts (ATCs)</t>
  </si>
  <si>
    <t>Prescriptive NEPA documents may  limit the Department’s flexibility for accepting innovative design solutions</t>
  </si>
  <si>
    <t>If authorized, Best Value procurement can help the Department enhance innovation through competitive pricing of innovative designs and construction methods or techniques</t>
  </si>
  <si>
    <t>Extraordinary time and cost requirements for reevaluating NEPA document may inhibit the acceptance of ATCs</t>
  </si>
  <si>
    <t>It enables the Department to benefit from both cost-saving and quality-improving innovative solutions</t>
  </si>
  <si>
    <t>The Design Build team may enhance innovation only from the cost standpoint and not necessarily from the quality standpoint</t>
  </si>
  <si>
    <t>By accepting ATCs, the Department shifts the risks of failure of innovative solutions to the Design Build team</t>
  </si>
  <si>
    <t>Quality Assurance Programs and Quality Control Systems for innovative designs and construction methods or techniques are difficult to specify in RFPs</t>
  </si>
  <si>
    <t>It enables the use of innovative design and construction methods or techniques, in order to minimize the negative impact on the public</t>
  </si>
  <si>
    <t>There is a risk that innovative solutions do not perform as anticipated and therefore, delay the project delivery</t>
  </si>
  <si>
    <t>It enables the Department to capitalize on the Design Build team’s access to unconventional mechanisms for the public outreach and engaging the people and other stakeholders in the project</t>
  </si>
  <si>
    <t>The use of Low Bid procurement method may inhibit innovation</t>
  </si>
  <si>
    <t xml:space="preserve">Innovation may be limited to the capability and comfort zone of the Design Build team selected for the project </t>
  </si>
  <si>
    <t>Level of Design</t>
  </si>
  <si>
    <t>It does not require complete design plans before awarding the project to the Design Build team</t>
  </si>
  <si>
    <t>The definitions, requirements and expectations (including the project scope and performance expectations) will become the basis for the contract and , thus, should be clearly stated in the RFP</t>
  </si>
  <si>
    <t>The detailed design specifications are not required, in order to communicate the design to potential Design Build teams (e.g., 10%-30% complete design is often satisfactory to procure the project)</t>
  </si>
  <si>
    <t>As the percentage of design completion increases, the opportunity to benefit from the advantages of Design Build becomes limited</t>
  </si>
  <si>
    <t>Contractor involvement during the design process enhances constructability (i.e., the collaboration and coordination between the designer and the contractor enhances the opportunity to improve the constructability)</t>
  </si>
  <si>
    <t>It is imperative to establish Quality Assurance Programs for design and construction that are understood and accepted by all stakeholders</t>
  </si>
  <si>
    <t>The Design Build team accepts the liability for design errors/omissions</t>
  </si>
  <si>
    <t>The continuous execution of design and construction enhances the control and oversight over the final product</t>
  </si>
  <si>
    <t>It enables the Department to transfer design risks to the Design Build team</t>
  </si>
  <si>
    <t>The Department’s requirements and expectations may not be met if they are not adequately defined in the RFP</t>
  </si>
  <si>
    <t>Flexibility in the project scope and incomplete design plans allow the Design Build team to develop innovative designs</t>
  </si>
  <si>
    <t>By relinquishing the control over design details, the Department may not be able to achieve some of its quality objectives</t>
  </si>
  <si>
    <t>It eases the acquirement of NEPA document approval through the flexible project scope</t>
  </si>
  <si>
    <t>It can reduce the design standardization across the Department’s projects</t>
  </si>
  <si>
    <t>It enables the Department to advance the design only to the level necessary for defining the contract requirements and allocating the risks</t>
  </si>
  <si>
    <t>There is a risk that the design plans are defective and therefore, delay the project delivery</t>
  </si>
  <si>
    <t>Not fully-developed design plans permit the utilization of ATCs proposed by the Design Build team</t>
  </si>
  <si>
    <t>The continuous execution of design and construction enhances the control and oversight over the project</t>
  </si>
  <si>
    <t>The collaboration and coordination between the designer and the contractor enhances the opportunity to reduce the number of change orders</t>
  </si>
  <si>
    <t>The collaboration and coordination between the designer and the contractor reduces the possibility of errors/omissions</t>
  </si>
  <si>
    <t xml:space="preserve">Project Delivery Cost </t>
  </si>
  <si>
    <t>The collaboration between the designer and the contractor helps the Design Build team identify and optimize cost-efficient solutions to project goals</t>
  </si>
  <si>
    <t>It is difficult to accurately estimate the lump sum cost when detailed design plans are not complete</t>
  </si>
  <si>
    <t>The project cost is contractually established in Design Build proposals before detailed design plans are completed</t>
  </si>
  <si>
    <t>The Design Build team may use high contingency when detailed design plans are not 100% complete</t>
  </si>
  <si>
    <t xml:space="preserve">The collaboration between the designer and the contractor involvement in early design and constructability reviews moderate the cost </t>
  </si>
  <si>
    <t>If design is too far advanced, there is limited potential for cost savings</t>
  </si>
  <si>
    <t>The single point of responsibility and early team integration create the potential for lower average cost growth</t>
  </si>
  <si>
    <t>If authorized, Best Value procurement may not necessarily lead to selection of the bidder with the lowest price</t>
  </si>
  <si>
    <t>The single point of responsibility (i.e., one contract) reduces the Department’s procurement cost</t>
  </si>
  <si>
    <t>The project delivery cost increases when stipends are paid to shortlisted Design Build teams</t>
  </si>
  <si>
    <t>It enables the Department to use a fixed budget-variable scope procurement method to deliver projects</t>
  </si>
  <si>
    <t>Poor risk allocation can result in high contingencies</t>
  </si>
  <si>
    <r>
      <rPr>
        <sz val="7"/>
        <color theme="1"/>
        <rFont val="Times New Roman"/>
        <family val="1"/>
      </rPr>
      <t xml:space="preserve"> </t>
    </r>
    <r>
      <rPr>
        <sz val="11"/>
        <color theme="1"/>
        <rFont val="Times New Roman"/>
        <family val="1"/>
      </rPr>
      <t>It enables the Department to utilize confidential pre-approved Alternative Technical Concepts (ATCs) as cost-efficient solutions to meet project goals</t>
    </r>
  </si>
  <si>
    <t>The Design Build team’s internal conflicts can adversely impact the project delivery cost</t>
  </si>
  <si>
    <t>The single point of responsibility (i.e., one contract) enables the Department to reduce the contract administration costs</t>
  </si>
  <si>
    <t>Increased proposal cost may limit the number of Design Build teams participating in the bidding process</t>
  </si>
  <si>
    <r>
      <rPr>
        <sz val="7"/>
        <color theme="1"/>
        <rFont val="Times New Roman"/>
        <family val="1"/>
      </rPr>
      <t xml:space="preserve"> </t>
    </r>
    <r>
      <rPr>
        <sz val="11"/>
        <color theme="1"/>
        <rFont val="Times New Roman"/>
        <family val="1"/>
      </rPr>
      <t>If authorized, the Department can utilize an appropriate variation of Best Value as the basis of award to incorporate non-price factors, such as time and technical quality in proposal evaluation</t>
    </r>
  </si>
  <si>
    <t>The limited number of qualified Design Build teams in the marketplace can limit the potential for receiving price-competitive proposals</t>
  </si>
  <si>
    <t>The use of Low Bid procurement method may result in cost growth during project construction</t>
  </si>
  <si>
    <t>Cost savings from innovative design and construction methods or techniques may not be transferred to the Department</t>
  </si>
  <si>
    <t>Not selecting the lowest bidder without properly communicating assessment criteria and proposal evaluation process may result in negative outcomes, such as bid protest, public outcry and industry resistance</t>
  </si>
  <si>
    <t>Quality</t>
  </si>
  <si>
    <r>
      <rPr>
        <sz val="7"/>
        <color theme="1"/>
        <rFont val="Times New Roman"/>
        <family val="1"/>
      </rPr>
      <t xml:space="preserve"> </t>
    </r>
    <r>
      <rPr>
        <sz val="11"/>
        <color theme="1"/>
        <rFont val="Times New Roman"/>
        <family val="1"/>
      </rPr>
      <t>It provides the Department with the capability to go beyond its normal level of quality in transportation projects</t>
    </r>
  </si>
  <si>
    <t>It requires developing extensive systems for design acceptance/approval and construction acceptance (verification)</t>
  </si>
  <si>
    <t>It reduces construction engineering and inspection costs to the Department since these quality control activities and risks are transferred to the Design Build team</t>
  </si>
  <si>
    <t>It requires  establishing, understanding and accepting a Design Quality Assurance Program and a Construction Quality Assurance Program by all stakeholders</t>
  </si>
  <si>
    <r>
      <rPr>
        <sz val="7"/>
        <color theme="1"/>
        <rFont val="Times New Roman"/>
        <family val="1"/>
      </rPr>
      <t xml:space="preserve"> </t>
    </r>
    <r>
      <rPr>
        <sz val="11"/>
        <color theme="1"/>
        <rFont val="Times New Roman"/>
        <family val="1"/>
      </rPr>
      <t>Quality Control System is enhanced through the continuous involvement of designer throughout the project</t>
    </r>
  </si>
  <si>
    <t>It strikes at the foundation of the traditional Quality Assurance/Quality Control roles through the combination of engineering and construction</t>
  </si>
  <si>
    <t>While Quality Control is the Design Build team’s responsibility, Quality acceptance remains the Department’s responsibility</t>
  </si>
  <si>
    <t>It provides an opportunity for the Department to maintain the same or higher level of quality while reducing the overall project cost and duration</t>
  </si>
  <si>
    <t>Contractor may drive designer to reduce cost at risk to quality</t>
  </si>
  <si>
    <t>It provides an opportunity for the Department to evaluate Quality Control Systems for design and construction, which are described by Design Build Teams in their proposals</t>
  </si>
  <si>
    <t>Quality Assurance Programs and Quality Control Systems for design and construction are difficult to define in RFPs</t>
  </si>
  <si>
    <r>
      <rPr>
        <sz val="7"/>
        <color theme="1"/>
        <rFont val="Times New Roman"/>
        <family val="1"/>
      </rPr>
      <t xml:space="preserve"> </t>
    </r>
    <r>
      <rPr>
        <sz val="11"/>
        <color theme="1"/>
        <rFont val="Times New Roman"/>
        <family val="1"/>
      </rPr>
      <t>Quality Assurance will become problematic if the Design Build team is assigned the responsibility to perform any acceptance and verification function</t>
    </r>
  </si>
  <si>
    <t>By relinquishing the control over design details, the Department may not be able to achieve its quality objectives</t>
  </si>
  <si>
    <t>Checks and balances in design and construction Quality Assurance Programs may not be performed adequately</t>
  </si>
  <si>
    <t xml:space="preserve">Staff Experience </t>
  </si>
  <si>
    <t>The single point of responsibility (i.e., one contract) reduces the Department’s administrative burden on the Department staff</t>
  </si>
  <si>
    <t>It requires the commitment of Department management and technical resources and expertise at critical points in the process (i.e., RFP development, design review, etc.)</t>
  </si>
  <si>
    <t>It requires the concurrent commitment of design and construction resources to administrate the procurement and oversee the implementation of project</t>
  </si>
  <si>
    <t>It may require changing roles of the current Department staff</t>
  </si>
  <si>
    <t>It may require additional training of the current Department staff</t>
  </si>
  <si>
    <t>It may require additional consultant support</t>
  </si>
  <si>
    <t>It may require additional staff with Design Build oversight experience</t>
  </si>
  <si>
    <t>It may require experienced staff  for risk management (identification, assessment, allocation and mitigation)</t>
  </si>
  <si>
    <r>
      <rPr>
        <sz val="7"/>
        <color theme="1"/>
        <rFont val="Times New Roman"/>
        <family val="1"/>
      </rPr>
      <t xml:space="preserve"> </t>
    </r>
    <r>
      <rPr>
        <sz val="11"/>
        <color theme="1"/>
        <rFont val="Times New Roman"/>
        <family val="1"/>
      </rPr>
      <t>Using Design Build provides the Department staff with the opportunity to learn a new process</t>
    </r>
  </si>
  <si>
    <t>It requires the Department’s willingness to accept the required cultural shift for Design Build Project Delivery System</t>
  </si>
  <si>
    <t xml:space="preserve">It enables the Department to collaborate with the Design Build industry to deliver projects, which require specialty skills for design or construction that may not be available inside the Department </t>
  </si>
  <si>
    <t>The Department may have to dedicate considerable staff resources during the procurement phase</t>
  </si>
  <si>
    <t>If the current Department staff has limited experiences in similar projects, there will be challenges to administrate the procurement and oversee the implementation of project</t>
  </si>
  <si>
    <t xml:space="preserve">Marketplace Conditions, Competition and Design Build Team Experience </t>
  </si>
  <si>
    <t>Teaming of the designer and the contractor can result in added technical value</t>
  </si>
  <si>
    <t>In turbulent market conditions, early commitment to a price may increase the costs for the Department</t>
  </si>
  <si>
    <t>The need for Design Build qualifications may limit competition</t>
  </si>
  <si>
    <t>It may be difficult for the Department to find the Design Build teams with adequate experience with similar projects</t>
  </si>
  <si>
    <t>The Department heavily relies on the selected Design Build team’s experience and expertise</t>
  </si>
  <si>
    <t>If authorized, Best Value procurement enables the Department balance qualifications and cost in Design Build procurement</t>
  </si>
  <si>
    <t>Conflicts may arise if the owner and the Design Build team have different levels of understating about the Design Build Project Delivery System</t>
  </si>
  <si>
    <t>The Design Build Team may face internal conflict due to the gap between the designer and the contractor experience</t>
  </si>
  <si>
    <t>The use of the Low Bid selection method does not necessarily lead to the selection of the best Design Build team</t>
  </si>
  <si>
    <t>Sum of scores</t>
  </si>
  <si>
    <t>Weights</t>
  </si>
  <si>
    <t>Project Delivery Schedule Weight</t>
  </si>
  <si>
    <t>Innovation Weight</t>
  </si>
  <si>
    <t>Level of Design Weight</t>
  </si>
  <si>
    <t>Project Delivery Cost Weight</t>
  </si>
  <si>
    <t>Quality Weight</t>
  </si>
  <si>
    <t>Staff Experience Weight</t>
  </si>
  <si>
    <t>Marketplace, Conditions, Competition, and Design Build Team Experience Weight</t>
  </si>
  <si>
    <t>Final score</t>
  </si>
  <si>
    <t>Design Build Suitability Assessment</t>
  </si>
  <si>
    <t xml:space="preserve">Appropriateness of Design Build Project Delivery System for the Project </t>
  </si>
  <si>
    <t>Range of the Overall Score</t>
  </si>
  <si>
    <t>Excellent Design Build candidate; Design Build risks have been properly assigned and mitigated</t>
  </si>
  <si>
    <t>80-100</t>
  </si>
  <si>
    <t>Good Design Build candidate; Some mitigation measures should be considered to ensure successful delivery</t>
  </si>
  <si>
    <t>60-80</t>
  </si>
  <si>
    <t xml:space="preserve">Mediocre Design Build candidate; Design Build Project Delivery System is risky or another Project Delivery System may be more suitable </t>
  </si>
  <si>
    <t>50-60</t>
  </si>
  <si>
    <t>Poor Design Build candidate; Another Project Delivery System may be more suitable</t>
  </si>
  <si>
    <t>40-50</t>
  </si>
  <si>
    <t>Not suitable for Design Build Project Delivery System</t>
  </si>
  <si>
    <t>Below 40</t>
  </si>
  <si>
    <t>Deal Breaker Issues</t>
  </si>
  <si>
    <t>Considering the project characteristics (type and size), does the current regulation allow the Department to use Design Build Project Delivery System to develop this project?</t>
  </si>
  <si>
    <t>Considering Department's available human resources and the Department’s access to Design Build consultants, can this project be delivered using Design Build Project Delivery System?</t>
  </si>
  <si>
    <t>Considering the Department's funding resources, can this project receive funding in foreseeable future, in order to be delivered using Design Build Project Delivery System?</t>
  </si>
  <si>
    <t>Does the Department's leadership support the utilization of Design Build Project Delivery System for this project considering issues such as public endorsement?</t>
  </si>
  <si>
    <t>Considering Design Build expertise available in the State and the Department’s potential access to qualified Design Build Teams outside the State, can this project be delivered using Design Build Project Delivery System?</t>
  </si>
  <si>
    <t>Project Characteristics</t>
  </si>
  <si>
    <t>Project Delivery Schedule SWOT Analysis</t>
  </si>
  <si>
    <t>Innovation SWOT Analysis</t>
  </si>
  <si>
    <t>Level of Design SWOT Analysis</t>
  </si>
  <si>
    <t>Project Delivery Cost SWOT Analysis</t>
  </si>
  <si>
    <t>Quality SWOT Analysis</t>
  </si>
  <si>
    <t>Staff Experience SWOT Analysis</t>
  </si>
  <si>
    <t>Marketplace Conditions,
Competition and Design Build Team ExperienceSWOT Analysis</t>
  </si>
  <si>
    <t>Final Scores</t>
  </si>
  <si>
    <t>Total Score</t>
  </si>
  <si>
    <t xml:space="preserve"> Score: </t>
  </si>
  <si>
    <t xml:space="preserve"> Raw SWOT Score:   Weight:   Normalized Score: </t>
  </si>
  <si>
    <t>Fri, 10-January-2014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</si>
</sst>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00"/>
  </numFmts>
  <fonts count="7" x14ac:knownFonts="1">
    <font>
      <sz val="11"/>
      <color theme="1"/>
      <name val="Calibri"/>
      <family val="2"/>
      <scheme val="minor"/>
    </font>
    <font>
      <b/>
      <sz val="11"/>
      <color theme="1"/>
      <name val="Times New Roman"/>
      <family val="1"/>
    </font>
    <font>
      <sz val="11"/>
      <color theme="1"/>
      <name val="Times New Roman"/>
      <family val="1"/>
    </font>
    <font>
      <sz val="7"/>
      <color theme="1"/>
      <name val="Times New Roman"/>
      <family val="1"/>
    </font>
    <font>
      <sz val="10.5"/>
      <color theme="1"/>
      <name val="Times New Roman"/>
      <family val="1"/>
    </font>
    <font>
      <sz val="11"/>
      <color theme="1"/>
      <name val="Times"/>
    </font>
    <font>
      <b/>
      <sz val="11"/>
      <color theme="1"/>
      <name val="Times"/>
    </font>
  </fonts>
  <fills count="4">
    <fill>
      <patternFill patternType="none"/>
    </fill>
    <fill>
      <patternFill patternType="gray125"/>
    </fill>
    <fill>
      <patternFill patternType="solid">
        <fgColor rgb="FF00B0F0"/>
        <bgColor indexed="64"/>
      </patternFill>
    </fill>
    <fill>
      <patternFill patternType="solid">
        <fgColor rgb="FFC0C0C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s>
  <cellStyleXfs count="1">
    <xf numFmtId="0" fontId="0" fillId="0" borderId="0"/>
  </cellStyleXfs>
  <cellXfs count="62">
    <xf numFmtId="0" fontId="0" fillId="0" borderId="0" xfId="0"/>
    <xf numFmtId="0" fontId="1" fillId="2" borderId="1" xfId="0" applyFont="1"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0" fontId="1" fillId="2" borderId="0" xfId="0" applyFont="1" applyFill="1" applyAlignment="1">
      <alignment horizontal="center" vertical="center" wrapText="1"/>
    </xf>
    <xf numFmtId="0" fontId="1" fillId="0" borderId="0" xfId="0" applyFont="1" applyBorder="1" applyAlignment="1">
      <alignment horizontal="left" vertical="center" wrapText="1"/>
    </xf>
    <xf numFmtId="0" fontId="2" fillId="0" borderId="0" xfId="0" applyFont="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2" borderId="3" xfId="0" applyFont="1" applyFill="1" applyBorder="1" applyAlignment="1">
      <alignment horizontal="center" vertical="center" wrapText="1"/>
    </xf>
    <xf numFmtId="0" fontId="2" fillId="0" borderId="4" xfId="0" applyFont="1" applyBorder="1" applyAlignment="1">
      <alignment horizontal="left" vertical="center" wrapText="1"/>
    </xf>
    <xf numFmtId="0" fontId="2" fillId="0" borderId="4" xfId="0" applyFont="1" applyBorder="1" applyAlignment="1">
      <alignment horizontal="center" vertical="center" wrapText="1"/>
    </xf>
    <xf numFmtId="0" fontId="1"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 fillId="0" borderId="1" xfId="0" applyFont="1" applyBorder="1" applyAlignment="1">
      <alignment horizontal="center" vertical="center" wrapText="1"/>
    </xf>
    <xf numFmtId="0" fontId="1" fillId="2" borderId="0"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1" xfId="0" applyFont="1" applyBorder="1" applyAlignment="1">
      <alignment horizontal="left" wrapText="1"/>
    </xf>
    <xf numFmtId="0" fontId="4" fillId="0" borderId="1" xfId="0" applyFont="1" applyBorder="1" applyAlignment="1">
      <alignment horizontal="justify" vertical="center"/>
    </xf>
    <xf numFmtId="0" fontId="4" fillId="0" borderId="1" xfId="0" applyFont="1" applyBorder="1" applyAlignment="1">
      <alignment wrapText="1"/>
    </xf>
    <xf numFmtId="0" fontId="1" fillId="0" borderId="1" xfId="0" applyFont="1" applyBorder="1"/>
    <xf numFmtId="0" fontId="2" fillId="0" borderId="3" xfId="0" applyFont="1" applyBorder="1" applyAlignment="1">
      <alignment horizontal="center" vertical="center" wrapText="1"/>
    </xf>
    <xf numFmtId="0" fontId="2" fillId="0" borderId="1" xfId="0" applyFont="1" applyBorder="1" applyAlignment="1">
      <alignment horizontal="justify" vertical="center"/>
    </xf>
    <xf numFmtId="0" fontId="2" fillId="0" borderId="1" xfId="0" applyFont="1" applyBorder="1" applyAlignment="1">
      <alignment wrapText="1"/>
    </xf>
    <xf numFmtId="0" fontId="2" fillId="0" borderId="1" xfId="0" applyFont="1" applyBorder="1" applyAlignment="1">
      <alignment horizontal="justify" vertical="center" wrapText="1"/>
    </xf>
    <xf numFmtId="0" fontId="4" fillId="0" borderId="0" xfId="0" applyFont="1" applyBorder="1" applyAlignment="1">
      <alignment wrapText="1"/>
    </xf>
    <xf numFmtId="0" fontId="2" fillId="0" borderId="5" xfId="0" applyFont="1" applyBorder="1" applyAlignment="1">
      <alignment horizontal="justify" vertical="center"/>
    </xf>
    <xf numFmtId="0" fontId="2" fillId="0" borderId="5" xfId="0" applyFont="1" applyBorder="1" applyAlignment="1">
      <alignment horizontal="center" vertical="center" wrapText="1"/>
    </xf>
    <xf numFmtId="0" fontId="2" fillId="0" borderId="0" xfId="0" applyFont="1" applyBorder="1" applyAlignment="1">
      <alignment horizontal="justify" vertical="center"/>
    </xf>
    <xf numFmtId="0" fontId="2" fillId="0" borderId="0" xfId="0" applyFont="1" applyBorder="1" applyAlignment="1">
      <alignment wrapText="1"/>
    </xf>
    <xf numFmtId="0" fontId="1" fillId="0" borderId="0" xfId="0" applyFont="1" applyBorder="1" applyAlignment="1">
      <alignment horizontal="center" vertical="center" wrapText="1"/>
    </xf>
    <xf numFmtId="0" fontId="1" fillId="2" borderId="1" xfId="0" applyFont="1" applyFill="1" applyBorder="1"/>
    <xf numFmtId="0" fontId="2" fillId="0" borderId="6" xfId="0" applyFont="1" applyBorder="1" applyAlignment="1">
      <alignment horizontal="center" vertical="center" wrapText="1"/>
    </xf>
    <xf numFmtId="0" fontId="1" fillId="0" borderId="1" xfId="0" applyFont="1" applyBorder="1" applyAlignment="1">
      <alignment horizontal="center"/>
    </xf>
    <xf numFmtId="165" fontId="2" fillId="0" borderId="0" xfId="0" applyNumberFormat="1" applyFont="1" applyAlignment="1">
      <alignment horizontal="left" vertical="center" wrapText="1"/>
    </xf>
    <xf numFmtId="2" fontId="2" fillId="0" borderId="0" xfId="0" applyNumberFormat="1" applyFont="1" applyAlignment="1">
      <alignment horizontal="center" vertical="center" wrapText="1"/>
    </xf>
    <xf numFmtId="0" fontId="1" fillId="0" borderId="7" xfId="0" applyFont="1" applyBorder="1" applyAlignment="1">
      <alignment horizontal="center" vertical="center" wrapText="1"/>
    </xf>
    <xf numFmtId="0" fontId="2" fillId="0" borderId="8" xfId="0" applyFont="1" applyBorder="1" applyAlignment="1">
      <alignment horizontal="center" vertical="center" wrapText="1"/>
    </xf>
    <xf numFmtId="0" fontId="5" fillId="0" borderId="0" xfId="0" applyFont="1" applyFill="1" applyBorder="1"/>
    <xf numFmtId="0" fontId="6" fillId="0" borderId="0" xfId="0" applyFont="1" applyFill="1" applyBorder="1" applyAlignment="1">
      <alignment horizontal="left" vertical="center" wrapText="1"/>
    </xf>
    <xf numFmtId="0" fontId="6" fillId="0" borderId="0" xfId="0" applyFont="1" applyFill="1" applyBorder="1" applyAlignment="1">
      <alignment horizontal="center" vertical="center" wrapText="1"/>
    </xf>
    <xf numFmtId="0" fontId="6" fillId="0" borderId="0" xfId="0" applyFont="1" applyFill="1" applyBorder="1" applyAlignment="1">
      <alignment horizontal="justify" vertical="center" wrapText="1"/>
    </xf>
    <xf numFmtId="0" fontId="6" fillId="0" borderId="1" xfId="0" applyFont="1" applyFill="1" applyBorder="1" applyAlignment="1">
      <alignment horizontal="center" vertical="center" wrapText="1"/>
    </xf>
    <xf numFmtId="0" fontId="1" fillId="0" borderId="1" xfId="0" applyFont="1" applyBorder="1" applyAlignment="1">
      <alignment horizontal="justify" vertical="center"/>
    </xf>
    <xf numFmtId="0" fontId="1" fillId="0" borderId="1" xfId="0" applyFont="1" applyBorder="1" applyAlignment="1">
      <alignment wrapText="1"/>
    </xf>
    <xf numFmtId="0" fontId="5" fillId="0" borderId="1" xfId="0" applyFont="1" applyFill="1" applyBorder="1" applyAlignment="1">
      <alignment horizontal="left" vertical="top" wrapText="1"/>
    </xf>
    <xf numFmtId="0" fontId="6" fillId="0" borderId="0" xfId="0"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left" vertical="center" wrapText="1"/>
    </xf>
    <xf numFmtId="0" fontId="1" fillId="0" borderId="3"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2" fillId="3" borderId="1" xfId="0" applyFont="1" applyFill="1" applyBorder="1" applyAlignment="1">
      <alignment horizontal="justify" vertical="center" wrapText="1"/>
    </xf>
    <xf numFmtId="0" fontId="2" fillId="3" borderId="1" xfId="0" applyFont="1" applyFill="1" applyBorder="1" applyAlignment="1">
      <alignment horizontal="center" vertical="center" wrapText="1"/>
    </xf>
    <xf numFmtId="0" fontId="1" fillId="0" borderId="1" xfId="0" applyFont="1" applyBorder="1" applyAlignment="1">
      <alignment horizontal="justify" vertical="center" wrapText="1"/>
    </xf>
    <xf numFmtId="2" fontId="2" fillId="0" borderId="0" xfId="0" applyNumberFormat="1" applyFont="1" applyAlignment="1">
      <alignment horizontal="left" vertical="center" wrapText="1"/>
    </xf>
    <xf numFmtId="2" fontId="6" fillId="0" borderId="0" xfId="0" applyNumberFormat="1" applyFont="1" applyFill="1" applyBorder="1" applyAlignment="1">
      <alignment horizontal="center" vertical="center" wrapText="1"/>
    </xf>
    <xf numFmtId="0" fontId="6" fillId="0"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H235"/>
  <sheetViews>
    <sheetView topLeftCell="A206" workbookViewId="0">
      <selection activeCell="F220" sqref="F220"/>
    </sheetView>
  </sheetViews>
  <sheetFormatPr defaultColWidth="9.140625" defaultRowHeight="15" x14ac:dyDescent="0.25"/>
  <cols>
    <col min="1" max="1" width="9.140625" style="5"/>
    <col min="2" max="2" width="13.42578125" style="5" customWidth="1"/>
    <col min="3" max="3" width="33.42578125" style="6" customWidth="1"/>
    <col min="4" max="4" width="38.85546875" style="4" customWidth="1"/>
    <col min="5" max="5" width="35.42578125" style="5" customWidth="1"/>
    <col min="6" max="6" width="37.5703125" style="4" customWidth="1"/>
    <col min="7" max="7" width="15.85546875" style="5" customWidth="1"/>
    <col min="8" max="8" width="30.85546875" style="6" customWidth="1"/>
    <col min="9" max="16384" width="9.140625" style="5"/>
  </cols>
  <sheetData>
    <row r="3" spans="3:8" x14ac:dyDescent="0.25">
      <c r="C3" s="1" t="s">
        <v>0</v>
      </c>
      <c r="D3" s="2" t="s">
        <v>1</v>
      </c>
      <c r="E3" s="3"/>
    </row>
    <row r="4" spans="3:8" x14ac:dyDescent="0.25">
      <c r="D4" s="7"/>
      <c r="E4" s="8"/>
    </row>
    <row r="6" spans="3:8" s="12" customFormat="1" ht="14.25" x14ac:dyDescent="0.25">
      <c r="C6" s="6"/>
      <c r="D6" s="9"/>
      <c r="E6" s="10"/>
      <c r="F6" s="11"/>
      <c r="H6" s="6"/>
    </row>
    <row r="7" spans="3:8" x14ac:dyDescent="0.25">
      <c r="C7" s="13" t="s">
        <v>2</v>
      </c>
      <c r="D7" s="14" t="s">
        <v>3</v>
      </c>
      <c r="E7" s="15"/>
    </row>
    <row r="8" spans="3:8" ht="45" x14ac:dyDescent="0.25">
      <c r="D8" s="2" t="s">
        <v>4</v>
      </c>
      <c r="E8" s="3"/>
    </row>
    <row r="9" spans="3:8" ht="45" x14ac:dyDescent="0.25">
      <c r="D9" s="2" t="s">
        <v>5</v>
      </c>
      <c r="E9" s="3"/>
    </row>
    <row r="10" spans="3:8" x14ac:dyDescent="0.25">
      <c r="D10" s="2" t="s">
        <v>6</v>
      </c>
      <c r="E10" s="3"/>
    </row>
    <row r="11" spans="3:8" x14ac:dyDescent="0.25">
      <c r="D11" s="2" t="s">
        <v>7</v>
      </c>
      <c r="E11" s="3"/>
    </row>
    <row r="12" spans="3:8" x14ac:dyDescent="0.25">
      <c r="D12" s="2" t="s">
        <v>8</v>
      </c>
      <c r="E12" s="3"/>
    </row>
    <row r="13" spans="3:8" x14ac:dyDescent="0.25">
      <c r="D13" s="2" t="s">
        <v>9</v>
      </c>
      <c r="E13" s="3"/>
    </row>
    <row r="14" spans="3:8" x14ac:dyDescent="0.25">
      <c r="D14" s="2" t="s">
        <v>10</v>
      </c>
      <c r="E14" s="3"/>
    </row>
    <row r="15" spans="3:8" x14ac:dyDescent="0.25">
      <c r="D15" s="2" t="s">
        <v>11</v>
      </c>
      <c r="E15" s="3"/>
    </row>
    <row r="18" spans="2:5" ht="26.25" customHeight="1" x14ac:dyDescent="0.25">
      <c r="B18" s="12">
        <v>0</v>
      </c>
      <c r="C18" s="13" t="s">
        <v>12</v>
      </c>
      <c r="D18" s="16" t="s">
        <v>13</v>
      </c>
      <c r="E18" s="2"/>
    </row>
    <row r="19" spans="2:5" x14ac:dyDescent="0.25">
      <c r="B19" s="12">
        <v>1</v>
      </c>
      <c r="D19" s="16" t="s">
        <v>14</v>
      </c>
      <c r="E19" s="2"/>
    </row>
    <row r="20" spans="2:5" x14ac:dyDescent="0.25">
      <c r="B20" s="12">
        <f>B19+1</f>
        <v>2</v>
      </c>
      <c r="D20" s="16" t="s">
        <v>15</v>
      </c>
      <c r="E20" s="2"/>
    </row>
    <row r="21" spans="2:5" x14ac:dyDescent="0.25">
      <c r="B21" s="12">
        <f t="shared" ref="B21:B31" si="0">B20+1</f>
        <v>3</v>
      </c>
      <c r="D21" s="16" t="s">
        <v>16</v>
      </c>
      <c r="E21" s="2"/>
    </row>
    <row r="22" spans="2:5" x14ac:dyDescent="0.25">
      <c r="B22" s="12">
        <f t="shared" si="0"/>
        <v>4</v>
      </c>
      <c r="D22" s="16" t="s">
        <v>17</v>
      </c>
      <c r="E22" s="17"/>
    </row>
    <row r="23" spans="2:5" x14ac:dyDescent="0.25">
      <c r="B23" s="12">
        <f t="shared" si="0"/>
        <v>5</v>
      </c>
      <c r="D23" s="16" t="s">
        <v>18</v>
      </c>
      <c r="E23" s="2"/>
    </row>
    <row r="24" spans="2:5" x14ac:dyDescent="0.25">
      <c r="B24" s="12">
        <f t="shared" si="0"/>
        <v>6</v>
      </c>
      <c r="D24" s="16" t="s">
        <v>19</v>
      </c>
      <c r="E24" s="2"/>
    </row>
    <row r="25" spans="2:5" x14ac:dyDescent="0.25">
      <c r="B25" s="12">
        <f t="shared" si="0"/>
        <v>7</v>
      </c>
      <c r="D25" s="16" t="s">
        <v>20</v>
      </c>
      <c r="E25" s="2"/>
    </row>
    <row r="26" spans="2:5" x14ac:dyDescent="0.25">
      <c r="B26" s="12">
        <f t="shared" si="0"/>
        <v>8</v>
      </c>
      <c r="D26" s="16" t="s">
        <v>21</v>
      </c>
      <c r="E26" s="2"/>
    </row>
    <row r="27" spans="2:5" x14ac:dyDescent="0.25">
      <c r="B27" s="12">
        <f t="shared" si="0"/>
        <v>9</v>
      </c>
      <c r="D27" s="16" t="s">
        <v>22</v>
      </c>
      <c r="E27" s="2"/>
    </row>
    <row r="28" spans="2:5" x14ac:dyDescent="0.25">
      <c r="B28" s="12">
        <f t="shared" si="0"/>
        <v>10</v>
      </c>
      <c r="D28" s="16" t="s">
        <v>23</v>
      </c>
      <c r="E28" s="2"/>
    </row>
    <row r="29" spans="2:5" x14ac:dyDescent="0.25">
      <c r="B29" s="12">
        <f t="shared" si="0"/>
        <v>11</v>
      </c>
      <c r="D29" s="16" t="s">
        <v>24</v>
      </c>
      <c r="E29" s="2"/>
    </row>
    <row r="30" spans="2:5" x14ac:dyDescent="0.25">
      <c r="B30" s="12">
        <f t="shared" si="0"/>
        <v>12</v>
      </c>
      <c r="D30" s="16" t="s">
        <v>25</v>
      </c>
      <c r="E30" s="2"/>
    </row>
    <row r="31" spans="2:5" ht="28.5" x14ac:dyDescent="0.25">
      <c r="B31" s="12">
        <f t="shared" si="0"/>
        <v>13</v>
      </c>
      <c r="D31" s="16" t="s">
        <v>26</v>
      </c>
      <c r="E31" s="2"/>
    </row>
    <row r="34" spans="2:5" ht="20.25" customHeight="1" x14ac:dyDescent="0.25">
      <c r="B34" s="18" t="s">
        <v>27</v>
      </c>
      <c r="C34" s="13" t="s">
        <v>28</v>
      </c>
      <c r="D34" s="2" t="s">
        <v>29</v>
      </c>
      <c r="E34" s="3"/>
    </row>
    <row r="35" spans="2:5" x14ac:dyDescent="0.25">
      <c r="D35" s="2" t="s">
        <v>30</v>
      </c>
      <c r="E35" s="3"/>
    </row>
    <row r="36" spans="2:5" x14ac:dyDescent="0.25">
      <c r="D36" s="2" t="s">
        <v>31</v>
      </c>
      <c r="E36" s="3"/>
    </row>
    <row r="37" spans="2:5" x14ac:dyDescent="0.25">
      <c r="D37" s="2" t="s">
        <v>32</v>
      </c>
      <c r="E37" s="3"/>
    </row>
    <row r="38" spans="2:5" x14ac:dyDescent="0.25">
      <c r="D38" s="2" t="s">
        <v>33</v>
      </c>
      <c r="E38" s="3"/>
    </row>
    <row r="39" spans="2:5" ht="30" x14ac:dyDescent="0.25">
      <c r="D39" s="2" t="s">
        <v>34</v>
      </c>
      <c r="E39" s="3"/>
    </row>
    <row r="40" spans="2:5" x14ac:dyDescent="0.25">
      <c r="D40" s="2" t="s">
        <v>35</v>
      </c>
      <c r="E40" s="3"/>
    </row>
    <row r="41" spans="2:5" ht="30" x14ac:dyDescent="0.25">
      <c r="D41" s="2" t="s">
        <v>36</v>
      </c>
      <c r="E41" s="3"/>
    </row>
    <row r="42" spans="2:5" x14ac:dyDescent="0.25">
      <c r="D42" s="2" t="s">
        <v>37</v>
      </c>
      <c r="E42" s="3"/>
    </row>
    <row r="44" spans="2:5" ht="25.5" customHeight="1" x14ac:dyDescent="0.25">
      <c r="B44" s="18" t="s">
        <v>27</v>
      </c>
      <c r="C44" s="13" t="s">
        <v>38</v>
      </c>
      <c r="D44" s="2" t="s">
        <v>39</v>
      </c>
      <c r="E44" s="3"/>
    </row>
    <row r="45" spans="2:5" x14ac:dyDescent="0.25">
      <c r="D45" s="2" t="s">
        <v>40</v>
      </c>
      <c r="E45" s="3"/>
    </row>
    <row r="46" spans="2:5" x14ac:dyDescent="0.25">
      <c r="D46" s="2" t="s">
        <v>41</v>
      </c>
      <c r="E46" s="3"/>
    </row>
    <row r="47" spans="2:5" x14ac:dyDescent="0.25">
      <c r="D47" s="2" t="s">
        <v>42</v>
      </c>
      <c r="E47" s="3"/>
    </row>
    <row r="48" spans="2:5" x14ac:dyDescent="0.25">
      <c r="D48" s="2" t="s">
        <v>43</v>
      </c>
      <c r="E48" s="3"/>
    </row>
    <row r="50" spans="3:5" x14ac:dyDescent="0.25">
      <c r="C50" s="13" t="s">
        <v>44</v>
      </c>
      <c r="D50" s="2" t="s">
        <v>45</v>
      </c>
      <c r="E50" s="3"/>
    </row>
    <row r="51" spans="3:5" ht="30" x14ac:dyDescent="0.25">
      <c r="C51" s="19"/>
      <c r="D51" s="2" t="s">
        <v>46</v>
      </c>
      <c r="E51" s="3"/>
    </row>
    <row r="52" spans="3:5" x14ac:dyDescent="0.25">
      <c r="C52" s="19"/>
      <c r="D52" s="2" t="s">
        <v>43</v>
      </c>
      <c r="E52" s="3"/>
    </row>
    <row r="53" spans="3:5" x14ac:dyDescent="0.25">
      <c r="C53" s="19"/>
      <c r="D53" s="20"/>
      <c r="E53" s="8"/>
    </row>
    <row r="54" spans="3:5" ht="31.5" customHeight="1" x14ac:dyDescent="0.25">
      <c r="C54" s="13" t="s">
        <v>47</v>
      </c>
      <c r="D54" s="2" t="s">
        <v>48</v>
      </c>
      <c r="E54" s="3"/>
    </row>
    <row r="55" spans="3:5" x14ac:dyDescent="0.25">
      <c r="C55" s="19"/>
      <c r="D55" s="2" t="s">
        <v>49</v>
      </c>
      <c r="E55" s="3"/>
    </row>
    <row r="56" spans="3:5" ht="30" x14ac:dyDescent="0.25">
      <c r="C56" s="19"/>
      <c r="D56" s="2" t="s">
        <v>50</v>
      </c>
      <c r="E56" s="3"/>
    </row>
    <row r="57" spans="3:5" ht="30" x14ac:dyDescent="0.25">
      <c r="C57" s="19"/>
      <c r="D57" s="2" t="s">
        <v>51</v>
      </c>
      <c r="E57" s="3"/>
    </row>
    <row r="58" spans="3:5" ht="30" x14ac:dyDescent="0.25">
      <c r="C58" s="19"/>
      <c r="D58" s="2" t="s">
        <v>52</v>
      </c>
      <c r="E58" s="3"/>
    </row>
    <row r="59" spans="3:5" ht="30" x14ac:dyDescent="0.25">
      <c r="C59" s="19"/>
      <c r="D59" s="2" t="s">
        <v>53</v>
      </c>
      <c r="E59" s="3"/>
    </row>
    <row r="60" spans="3:5" ht="30" x14ac:dyDescent="0.25">
      <c r="C60" s="19"/>
      <c r="D60" s="2" t="s">
        <v>54</v>
      </c>
      <c r="E60" s="3"/>
    </row>
    <row r="61" spans="3:5" ht="30" x14ac:dyDescent="0.25">
      <c r="C61" s="19"/>
      <c r="D61" s="2" t="s">
        <v>55</v>
      </c>
      <c r="E61" s="3"/>
    </row>
    <row r="62" spans="3:5" x14ac:dyDescent="0.25">
      <c r="C62" s="19"/>
      <c r="D62" s="2" t="s">
        <v>56</v>
      </c>
      <c r="E62" s="3"/>
    </row>
    <row r="63" spans="3:5" x14ac:dyDescent="0.25">
      <c r="C63" s="19"/>
      <c r="D63" s="2" t="s">
        <v>43</v>
      </c>
      <c r="E63" s="3"/>
    </row>
    <row r="66" spans="2:8" s="12" customFormat="1" ht="14.25" x14ac:dyDescent="0.25">
      <c r="B66" s="12" t="s">
        <v>57</v>
      </c>
      <c r="C66" s="1" t="s">
        <v>58</v>
      </c>
      <c r="D66" s="16" t="s">
        <v>59</v>
      </c>
      <c r="E66" s="18"/>
      <c r="F66" s="16" t="s">
        <v>60</v>
      </c>
      <c r="H66" s="6"/>
    </row>
    <row r="67" spans="2:8" ht="90" customHeight="1" x14ac:dyDescent="0.25">
      <c r="C67" s="6">
        <v>1</v>
      </c>
      <c r="D67" s="2" t="s">
        <v>61</v>
      </c>
      <c r="E67" s="3"/>
      <c r="F67" s="2" t="s">
        <v>62</v>
      </c>
      <c r="G67" s="3"/>
      <c r="H67" s="6">
        <v>1</v>
      </c>
    </row>
    <row r="68" spans="2:8" ht="78" customHeight="1" x14ac:dyDescent="0.25">
      <c r="C68" s="6">
        <f>C67+1</f>
        <v>2</v>
      </c>
      <c r="D68" s="2" t="s">
        <v>63</v>
      </c>
      <c r="E68" s="3"/>
      <c r="F68" s="2" t="s">
        <v>64</v>
      </c>
      <c r="G68" s="3"/>
      <c r="H68" s="6">
        <v>2</v>
      </c>
    </row>
    <row r="69" spans="2:8" ht="54" customHeight="1" x14ac:dyDescent="0.25">
      <c r="C69" s="6">
        <f t="shared" ref="C69:C72" si="1">C68+1</f>
        <v>3</v>
      </c>
      <c r="D69" s="2" t="s">
        <v>65</v>
      </c>
      <c r="E69" s="3"/>
      <c r="F69" s="2" t="s">
        <v>66</v>
      </c>
      <c r="G69" s="3"/>
      <c r="H69" s="6">
        <v>3</v>
      </c>
    </row>
    <row r="70" spans="2:8" ht="45" x14ac:dyDescent="0.25">
      <c r="C70" s="6">
        <f t="shared" si="1"/>
        <v>4</v>
      </c>
      <c r="D70" s="2" t="s">
        <v>67</v>
      </c>
      <c r="E70" s="3"/>
      <c r="F70" s="2" t="s">
        <v>68</v>
      </c>
      <c r="G70" s="3"/>
    </row>
    <row r="71" spans="2:8" ht="60" x14ac:dyDescent="0.25">
      <c r="C71" s="6">
        <f t="shared" si="1"/>
        <v>5</v>
      </c>
      <c r="D71" s="2" t="s">
        <v>69</v>
      </c>
      <c r="E71" s="3"/>
      <c r="F71" s="2" t="s">
        <v>70</v>
      </c>
      <c r="G71" s="3"/>
    </row>
    <row r="72" spans="2:8" ht="45" x14ac:dyDescent="0.25">
      <c r="C72" s="6">
        <f t="shared" si="1"/>
        <v>6</v>
      </c>
      <c r="D72" s="2" t="s">
        <v>71</v>
      </c>
      <c r="E72" s="3"/>
    </row>
    <row r="73" spans="2:8" ht="36" customHeight="1" x14ac:dyDescent="0.25">
      <c r="D73" s="2" t="s">
        <v>72</v>
      </c>
      <c r="E73" s="3"/>
    </row>
    <row r="74" spans="2:8" ht="34.5" customHeight="1" x14ac:dyDescent="0.25">
      <c r="D74" s="2" t="s">
        <v>73</v>
      </c>
      <c r="E74" s="3"/>
    </row>
    <row r="75" spans="2:8" ht="36.75" customHeight="1" x14ac:dyDescent="0.25"/>
    <row r="76" spans="2:8" s="12" customFormat="1" ht="27" customHeight="1" x14ac:dyDescent="0.25">
      <c r="C76" s="6"/>
      <c r="D76" s="16" t="s">
        <v>74</v>
      </c>
      <c r="E76" s="18"/>
      <c r="F76" s="16" t="s">
        <v>75</v>
      </c>
      <c r="H76" s="6"/>
    </row>
    <row r="77" spans="2:8" s="12" customFormat="1" ht="45" x14ac:dyDescent="0.25">
      <c r="C77" s="6">
        <v>1</v>
      </c>
      <c r="D77" s="2" t="s">
        <v>76</v>
      </c>
      <c r="E77" s="3"/>
      <c r="F77" s="2" t="s">
        <v>77</v>
      </c>
      <c r="G77" s="3"/>
      <c r="H77" s="6">
        <v>1</v>
      </c>
    </row>
    <row r="78" spans="2:8" s="12" customFormat="1" ht="75" x14ac:dyDescent="0.25">
      <c r="C78" s="6">
        <v>2</v>
      </c>
      <c r="D78" s="2" t="s">
        <v>78</v>
      </c>
      <c r="E78" s="3"/>
      <c r="F78" s="2" t="s">
        <v>79</v>
      </c>
      <c r="G78" s="3"/>
      <c r="H78" s="6">
        <v>2</v>
      </c>
    </row>
    <row r="79" spans="2:8" s="12" customFormat="1" ht="75" x14ac:dyDescent="0.25">
      <c r="C79" s="6">
        <v>3</v>
      </c>
      <c r="D79" s="2" t="s">
        <v>80</v>
      </c>
      <c r="E79" s="3"/>
      <c r="F79" s="2" t="s">
        <v>81</v>
      </c>
      <c r="G79" s="3"/>
      <c r="H79" s="6">
        <v>3</v>
      </c>
    </row>
    <row r="80" spans="2:8" s="12" customFormat="1" ht="45" x14ac:dyDescent="0.25">
      <c r="C80" s="6">
        <v>4</v>
      </c>
      <c r="D80" s="2" t="s">
        <v>82</v>
      </c>
      <c r="E80" s="3"/>
      <c r="F80" s="2" t="s">
        <v>83</v>
      </c>
      <c r="G80" s="3"/>
      <c r="H80" s="6">
        <v>4</v>
      </c>
    </row>
    <row r="81" spans="3:8" s="12" customFormat="1" ht="60" x14ac:dyDescent="0.25">
      <c r="C81" s="6">
        <v>5</v>
      </c>
      <c r="D81" s="2" t="s">
        <v>84</v>
      </c>
      <c r="E81" s="3"/>
      <c r="F81" s="2" t="s">
        <v>85</v>
      </c>
      <c r="G81" s="3"/>
      <c r="H81" s="6">
        <v>5</v>
      </c>
    </row>
    <row r="82" spans="3:8" s="12" customFormat="1" ht="45" x14ac:dyDescent="0.25">
      <c r="C82" s="6">
        <v>6</v>
      </c>
      <c r="D82" s="2" t="s">
        <v>86</v>
      </c>
      <c r="E82" s="3"/>
      <c r="F82" s="2" t="s">
        <v>87</v>
      </c>
      <c r="G82" s="3"/>
      <c r="H82" s="6"/>
    </row>
    <row r="83" spans="3:8" s="12" customFormat="1" ht="60" x14ac:dyDescent="0.25">
      <c r="C83" s="6">
        <v>7</v>
      </c>
      <c r="D83" s="2" t="s">
        <v>88</v>
      </c>
      <c r="E83" s="3"/>
      <c r="F83" s="2" t="s">
        <v>89</v>
      </c>
      <c r="G83" s="3"/>
      <c r="H83" s="6"/>
    </row>
    <row r="84" spans="3:8" s="12" customFormat="1" ht="45" x14ac:dyDescent="0.25">
      <c r="C84" s="6">
        <v>8</v>
      </c>
      <c r="D84" s="2" t="s">
        <v>90</v>
      </c>
      <c r="E84" s="3"/>
      <c r="F84" s="11"/>
      <c r="H84" s="6"/>
    </row>
    <row r="85" spans="3:8" s="12" customFormat="1" ht="45" x14ac:dyDescent="0.25">
      <c r="C85" s="6">
        <v>9</v>
      </c>
      <c r="D85" s="2" t="s">
        <v>91</v>
      </c>
      <c r="E85" s="3"/>
      <c r="F85" s="11"/>
      <c r="H85" s="6"/>
    </row>
    <row r="86" spans="3:8" s="12" customFormat="1" ht="75" x14ac:dyDescent="0.25">
      <c r="C86" s="6">
        <v>10</v>
      </c>
      <c r="D86" s="2" t="s">
        <v>92</v>
      </c>
      <c r="E86" s="3"/>
      <c r="F86" s="11"/>
      <c r="H86" s="6"/>
    </row>
    <row r="87" spans="3:8" s="12" customFormat="1" ht="45" x14ac:dyDescent="0.25">
      <c r="C87" s="6">
        <v>11</v>
      </c>
      <c r="D87" s="2" t="s">
        <v>93</v>
      </c>
      <c r="E87" s="3"/>
      <c r="F87" s="11"/>
      <c r="H87" s="6"/>
    </row>
    <row r="88" spans="3:8" s="12" customFormat="1" ht="63.75" customHeight="1" x14ac:dyDescent="0.25">
      <c r="C88" s="6">
        <v>12</v>
      </c>
      <c r="D88" s="21" t="s">
        <v>94</v>
      </c>
      <c r="E88" s="3"/>
      <c r="F88" s="11"/>
      <c r="H88" s="6"/>
    </row>
    <row r="89" spans="3:8" s="12" customFormat="1" ht="41.25" customHeight="1" x14ac:dyDescent="0.25">
      <c r="C89" s="6"/>
      <c r="D89" s="2" t="s">
        <v>95</v>
      </c>
      <c r="E89" s="3"/>
      <c r="F89" s="11"/>
      <c r="H89" s="6"/>
    </row>
    <row r="90" spans="3:8" s="12" customFormat="1" ht="41.25" customHeight="1" x14ac:dyDescent="0.25">
      <c r="C90" s="6"/>
      <c r="D90" s="2" t="s">
        <v>96</v>
      </c>
      <c r="E90" s="3"/>
      <c r="F90" s="11"/>
      <c r="H90" s="6"/>
    </row>
    <row r="91" spans="3:8" s="12" customFormat="1" ht="14.25" x14ac:dyDescent="0.25">
      <c r="C91" s="6"/>
      <c r="D91" s="11"/>
      <c r="F91" s="11"/>
      <c r="H91" s="6"/>
    </row>
    <row r="92" spans="3:8" s="12" customFormat="1" ht="14.25" x14ac:dyDescent="0.25">
      <c r="C92" s="6"/>
      <c r="D92" s="11"/>
      <c r="F92" s="11"/>
      <c r="H92" s="6"/>
    </row>
    <row r="93" spans="3:8" s="12" customFormat="1" ht="33" customHeight="1" x14ac:dyDescent="0.25">
      <c r="C93" s="1" t="s">
        <v>44</v>
      </c>
      <c r="D93" s="18" t="s">
        <v>97</v>
      </c>
      <c r="E93" s="18"/>
      <c r="F93" s="18" t="s">
        <v>60</v>
      </c>
      <c r="G93" s="18"/>
      <c r="H93" s="6"/>
    </row>
    <row r="94" spans="3:8" s="12" customFormat="1" ht="75" x14ac:dyDescent="0.25">
      <c r="C94" s="6">
        <v>1</v>
      </c>
      <c r="D94" s="3" t="s">
        <v>98</v>
      </c>
      <c r="E94" s="3"/>
      <c r="F94" s="22" t="s">
        <v>99</v>
      </c>
      <c r="G94" s="3"/>
      <c r="H94" s="6">
        <v>1</v>
      </c>
    </row>
    <row r="95" spans="3:8" ht="60" x14ac:dyDescent="0.25">
      <c r="C95" s="6">
        <v>2</v>
      </c>
      <c r="D95" s="3" t="s">
        <v>100</v>
      </c>
      <c r="E95" s="3"/>
      <c r="F95" s="22" t="s">
        <v>101</v>
      </c>
      <c r="G95" s="3"/>
      <c r="H95" s="6">
        <v>2</v>
      </c>
    </row>
    <row r="96" spans="3:8" ht="57" customHeight="1" x14ac:dyDescent="0.25">
      <c r="C96" s="6">
        <v>3</v>
      </c>
      <c r="D96" s="3" t="s">
        <v>102</v>
      </c>
      <c r="E96" s="3"/>
      <c r="F96" s="22" t="s">
        <v>103</v>
      </c>
      <c r="G96" s="3"/>
      <c r="H96" s="6">
        <v>3</v>
      </c>
    </row>
    <row r="97" spans="3:8" ht="27" x14ac:dyDescent="0.2">
      <c r="D97" s="3" t="s">
        <v>72</v>
      </c>
      <c r="E97" s="3"/>
      <c r="F97" s="23" t="s">
        <v>104</v>
      </c>
      <c r="G97" s="3"/>
      <c r="H97" s="6">
        <v>4</v>
      </c>
    </row>
    <row r="98" spans="3:8" x14ac:dyDescent="0.25">
      <c r="D98" s="3" t="s">
        <v>73</v>
      </c>
      <c r="E98" s="3"/>
      <c r="F98" s="3" t="s">
        <v>68</v>
      </c>
      <c r="G98" s="3"/>
    </row>
    <row r="99" spans="3:8" x14ac:dyDescent="0.25">
      <c r="D99" s="3"/>
      <c r="E99" s="3"/>
      <c r="F99" s="3" t="s">
        <v>70</v>
      </c>
      <c r="G99" s="3"/>
    </row>
    <row r="100" spans="3:8" ht="27" customHeight="1" x14ac:dyDescent="0.25">
      <c r="D100" s="5"/>
      <c r="F100" s="5"/>
    </row>
    <row r="101" spans="3:8" s="12" customFormat="1" ht="26.25" customHeight="1" x14ac:dyDescent="0.2">
      <c r="C101" s="6"/>
      <c r="D101" s="24" t="s">
        <v>105</v>
      </c>
      <c r="E101" s="3"/>
      <c r="F101" s="18" t="s">
        <v>75</v>
      </c>
      <c r="G101" s="5"/>
      <c r="H101" s="6"/>
    </row>
    <row r="102" spans="3:8" ht="85.5" customHeight="1" x14ac:dyDescent="0.25">
      <c r="C102" s="6">
        <v>1</v>
      </c>
      <c r="D102" s="3" t="s">
        <v>106</v>
      </c>
      <c r="E102" s="25"/>
      <c r="F102" s="26" t="s">
        <v>107</v>
      </c>
      <c r="G102" s="3"/>
      <c r="H102" s="6">
        <v>1</v>
      </c>
    </row>
    <row r="103" spans="3:8" ht="69.75" customHeight="1" x14ac:dyDescent="0.25">
      <c r="C103" s="6">
        <v>2</v>
      </c>
      <c r="D103" s="3" t="s">
        <v>108</v>
      </c>
      <c r="E103" s="25"/>
      <c r="F103" s="26" t="s">
        <v>109</v>
      </c>
      <c r="G103" s="3"/>
      <c r="H103" s="6">
        <f>H102+1</f>
        <v>2</v>
      </c>
    </row>
    <row r="104" spans="3:8" ht="51" customHeight="1" x14ac:dyDescent="0.25">
      <c r="C104" s="6">
        <v>3</v>
      </c>
      <c r="D104" s="3" t="s">
        <v>110</v>
      </c>
      <c r="E104" s="25"/>
      <c r="F104" s="26" t="s">
        <v>111</v>
      </c>
      <c r="G104" s="3"/>
      <c r="H104" s="6">
        <f t="shared" ref="H104:H110" si="2">H103+1</f>
        <v>3</v>
      </c>
    </row>
    <row r="105" spans="3:8" ht="75" x14ac:dyDescent="0.25">
      <c r="C105" s="6">
        <v>4</v>
      </c>
      <c r="D105" s="3" t="s">
        <v>112</v>
      </c>
      <c r="E105" s="25"/>
      <c r="F105" s="26" t="s">
        <v>113</v>
      </c>
      <c r="G105" s="3"/>
      <c r="H105" s="6">
        <f t="shared" si="2"/>
        <v>4</v>
      </c>
    </row>
    <row r="106" spans="3:8" ht="60" x14ac:dyDescent="0.25">
      <c r="C106" s="6">
        <v>5</v>
      </c>
      <c r="D106" s="3" t="s">
        <v>114</v>
      </c>
      <c r="E106" s="25"/>
      <c r="F106" s="26" t="s">
        <v>115</v>
      </c>
      <c r="G106" s="3"/>
      <c r="H106" s="6">
        <f t="shared" si="2"/>
        <v>5</v>
      </c>
    </row>
    <row r="107" spans="3:8" ht="60" x14ac:dyDescent="0.25">
      <c r="C107" s="6">
        <v>6</v>
      </c>
      <c r="D107" s="3" t="s">
        <v>116</v>
      </c>
      <c r="E107" s="25"/>
      <c r="F107" s="26" t="s">
        <v>117</v>
      </c>
      <c r="G107" s="3"/>
      <c r="H107" s="6">
        <f t="shared" si="2"/>
        <v>6</v>
      </c>
    </row>
    <row r="108" spans="3:8" ht="60" x14ac:dyDescent="0.25">
      <c r="C108" s="6">
        <v>7</v>
      </c>
      <c r="D108" s="3" t="s">
        <v>118</v>
      </c>
      <c r="E108" s="25"/>
      <c r="F108" s="26" t="s">
        <v>119</v>
      </c>
      <c r="G108" s="3"/>
      <c r="H108" s="6">
        <f t="shared" si="2"/>
        <v>7</v>
      </c>
    </row>
    <row r="109" spans="3:8" ht="75" x14ac:dyDescent="0.25">
      <c r="C109" s="6">
        <v>8</v>
      </c>
      <c r="D109" s="3" t="s">
        <v>120</v>
      </c>
      <c r="E109" s="25"/>
      <c r="F109" s="26" t="s">
        <v>121</v>
      </c>
      <c r="G109" s="3"/>
      <c r="H109" s="6">
        <f t="shared" si="2"/>
        <v>8</v>
      </c>
    </row>
    <row r="110" spans="3:8" ht="45" x14ac:dyDescent="0.25">
      <c r="D110" s="3" t="s">
        <v>95</v>
      </c>
      <c r="E110" s="3"/>
      <c r="F110" s="27" t="s">
        <v>122</v>
      </c>
      <c r="G110" s="3"/>
      <c r="H110" s="6">
        <f t="shared" si="2"/>
        <v>9</v>
      </c>
    </row>
    <row r="111" spans="3:8" x14ac:dyDescent="0.25">
      <c r="D111" s="3" t="s">
        <v>96</v>
      </c>
      <c r="E111" s="18"/>
      <c r="F111" s="3" t="s">
        <v>87</v>
      </c>
      <c r="G111" s="3"/>
    </row>
    <row r="112" spans="3:8" x14ac:dyDescent="0.25">
      <c r="D112" s="5"/>
      <c r="F112" s="3" t="s">
        <v>89</v>
      </c>
      <c r="G112" s="18"/>
    </row>
    <row r="113" spans="3:8" x14ac:dyDescent="0.25">
      <c r="D113" s="5"/>
      <c r="F113" s="5"/>
    </row>
    <row r="114" spans="3:8" x14ac:dyDescent="0.25">
      <c r="C114" s="1" t="s">
        <v>123</v>
      </c>
      <c r="D114" s="18" t="s">
        <v>97</v>
      </c>
      <c r="E114" s="18"/>
      <c r="F114" s="18" t="s">
        <v>60</v>
      </c>
      <c r="G114" s="18"/>
    </row>
    <row r="115" spans="3:8" ht="75" x14ac:dyDescent="0.25">
      <c r="C115" s="6">
        <v>1</v>
      </c>
      <c r="D115" s="26" t="s">
        <v>124</v>
      </c>
      <c r="E115" s="3"/>
      <c r="F115" s="28" t="s">
        <v>125</v>
      </c>
      <c r="G115" s="3"/>
      <c r="H115" s="6">
        <v>1</v>
      </c>
    </row>
    <row r="116" spans="3:8" ht="75" x14ac:dyDescent="0.25">
      <c r="C116" s="6">
        <v>2</v>
      </c>
      <c r="D116" s="26" t="s">
        <v>126</v>
      </c>
      <c r="E116" s="3"/>
      <c r="F116" s="28" t="s">
        <v>127</v>
      </c>
      <c r="G116" s="3"/>
      <c r="H116" s="6">
        <v>2</v>
      </c>
    </row>
    <row r="117" spans="3:8" ht="75" x14ac:dyDescent="0.25">
      <c r="C117" s="6">
        <v>3</v>
      </c>
      <c r="D117" s="26" t="s">
        <v>128</v>
      </c>
      <c r="E117" s="3"/>
      <c r="F117" s="27" t="s">
        <v>129</v>
      </c>
      <c r="G117" s="3"/>
      <c r="H117" s="6">
        <v>3</v>
      </c>
    </row>
    <row r="118" spans="3:8" ht="30" x14ac:dyDescent="0.25">
      <c r="C118" s="6">
        <v>4</v>
      </c>
      <c r="D118" s="26" t="s">
        <v>130</v>
      </c>
      <c r="E118" s="3"/>
      <c r="F118" s="3" t="s">
        <v>68</v>
      </c>
      <c r="G118" s="3"/>
    </row>
    <row r="119" spans="3:8" ht="45" x14ac:dyDescent="0.25">
      <c r="C119" s="6">
        <v>5</v>
      </c>
      <c r="D119" s="27" t="s">
        <v>131</v>
      </c>
      <c r="E119" s="3"/>
      <c r="F119" s="3" t="s">
        <v>70</v>
      </c>
      <c r="G119" s="3"/>
    </row>
    <row r="120" spans="3:8" x14ac:dyDescent="0.2">
      <c r="D120" s="3" t="s">
        <v>72</v>
      </c>
      <c r="E120" s="3"/>
      <c r="F120" s="29"/>
      <c r="G120" s="8"/>
    </row>
    <row r="121" spans="3:8" x14ac:dyDescent="0.25">
      <c r="D121" s="3" t="s">
        <v>73</v>
      </c>
      <c r="E121" s="3"/>
      <c r="F121" s="5"/>
      <c r="G121" s="8"/>
    </row>
    <row r="122" spans="3:8" x14ac:dyDescent="0.25">
      <c r="D122" s="8"/>
      <c r="E122" s="8"/>
      <c r="F122" s="5"/>
      <c r="G122" s="8"/>
    </row>
    <row r="123" spans="3:8" x14ac:dyDescent="0.2">
      <c r="D123" s="24" t="s">
        <v>105</v>
      </c>
      <c r="E123" s="3"/>
      <c r="F123" s="18" t="s">
        <v>75</v>
      </c>
    </row>
    <row r="124" spans="3:8" ht="45" x14ac:dyDescent="0.25">
      <c r="C124" s="6">
        <v>1</v>
      </c>
      <c r="D124" s="26" t="s">
        <v>132</v>
      </c>
      <c r="E124" s="3"/>
      <c r="F124" s="30" t="s">
        <v>133</v>
      </c>
      <c r="G124" s="3"/>
      <c r="H124" s="6">
        <v>1</v>
      </c>
    </row>
    <row r="125" spans="3:8" ht="45" x14ac:dyDescent="0.25">
      <c r="C125" s="6">
        <v>2</v>
      </c>
      <c r="D125" s="26" t="s">
        <v>134</v>
      </c>
      <c r="E125" s="3"/>
      <c r="F125" s="30" t="s">
        <v>135</v>
      </c>
      <c r="G125" s="3"/>
      <c r="H125" s="6">
        <v>2</v>
      </c>
    </row>
    <row r="126" spans="3:8" ht="45" x14ac:dyDescent="0.25">
      <c r="C126" s="6">
        <v>3</v>
      </c>
      <c r="D126" s="26" t="s">
        <v>136</v>
      </c>
      <c r="E126" s="3"/>
      <c r="F126" s="30" t="s">
        <v>137</v>
      </c>
      <c r="G126" s="3"/>
      <c r="H126" s="6">
        <v>3</v>
      </c>
    </row>
    <row r="127" spans="3:8" ht="60" x14ac:dyDescent="0.25">
      <c r="C127" s="6">
        <v>4</v>
      </c>
      <c r="D127" s="26" t="s">
        <v>138</v>
      </c>
      <c r="E127" s="3"/>
      <c r="F127" s="30" t="s">
        <v>139</v>
      </c>
      <c r="G127" s="3"/>
      <c r="H127" s="6">
        <v>4</v>
      </c>
    </row>
    <row r="128" spans="3:8" ht="45" x14ac:dyDescent="0.25">
      <c r="C128" s="6">
        <v>5</v>
      </c>
      <c r="D128" s="26" t="s">
        <v>140</v>
      </c>
      <c r="E128" s="3"/>
      <c r="F128" s="31" t="s">
        <v>87</v>
      </c>
      <c r="G128" s="3"/>
    </row>
    <row r="129" spans="3:8" ht="45" x14ac:dyDescent="0.25">
      <c r="C129" s="6">
        <v>6</v>
      </c>
      <c r="D129" s="26" t="s">
        <v>141</v>
      </c>
      <c r="E129" s="3"/>
      <c r="F129" s="31" t="s">
        <v>89</v>
      </c>
      <c r="G129" s="3"/>
    </row>
    <row r="130" spans="3:8" ht="60" x14ac:dyDescent="0.25">
      <c r="C130" s="6">
        <v>7</v>
      </c>
      <c r="D130" s="26" t="s">
        <v>142</v>
      </c>
      <c r="E130" s="3"/>
      <c r="F130" s="32"/>
      <c r="G130" s="8"/>
    </row>
    <row r="131" spans="3:8" ht="45" x14ac:dyDescent="0.25">
      <c r="C131" s="6">
        <v>8</v>
      </c>
      <c r="D131" s="27" t="s">
        <v>143</v>
      </c>
      <c r="E131" s="3"/>
      <c r="F131" s="32"/>
      <c r="G131" s="8"/>
    </row>
    <row r="132" spans="3:8" x14ac:dyDescent="0.25">
      <c r="D132" s="3" t="s">
        <v>95</v>
      </c>
      <c r="E132" s="3"/>
      <c r="F132" s="33"/>
      <c r="G132" s="8"/>
    </row>
    <row r="133" spans="3:8" x14ac:dyDescent="0.25">
      <c r="D133" s="3" t="s">
        <v>96</v>
      </c>
      <c r="E133" s="3"/>
      <c r="F133" s="8"/>
      <c r="G133" s="34"/>
    </row>
    <row r="134" spans="3:8" x14ac:dyDescent="0.25">
      <c r="D134" s="5"/>
      <c r="F134" s="5"/>
    </row>
    <row r="135" spans="3:8" x14ac:dyDescent="0.25">
      <c r="D135" s="5"/>
      <c r="F135" s="5"/>
    </row>
    <row r="136" spans="3:8" x14ac:dyDescent="0.2">
      <c r="C136" s="35" t="s">
        <v>144</v>
      </c>
      <c r="D136" s="18" t="s">
        <v>97</v>
      </c>
      <c r="E136" s="18"/>
      <c r="F136" s="18" t="s">
        <v>60</v>
      </c>
      <c r="G136" s="18"/>
    </row>
    <row r="137" spans="3:8" ht="60" x14ac:dyDescent="0.25">
      <c r="C137" s="6">
        <v>1</v>
      </c>
      <c r="D137" s="26" t="s">
        <v>145</v>
      </c>
      <c r="E137" s="3"/>
      <c r="F137" s="26" t="s">
        <v>146</v>
      </c>
      <c r="G137" s="3"/>
      <c r="H137" s="6">
        <v>1</v>
      </c>
    </row>
    <row r="138" spans="3:8" ht="45" x14ac:dyDescent="0.25">
      <c r="C138" s="6">
        <v>2</v>
      </c>
      <c r="D138" s="26" t="s">
        <v>147</v>
      </c>
      <c r="E138" s="3"/>
      <c r="F138" s="26" t="s">
        <v>148</v>
      </c>
      <c r="G138" s="3"/>
      <c r="H138" s="6">
        <v>2</v>
      </c>
    </row>
    <row r="139" spans="3:8" ht="60" x14ac:dyDescent="0.25">
      <c r="C139" s="6">
        <v>3</v>
      </c>
      <c r="D139" s="26" t="s">
        <v>149</v>
      </c>
      <c r="E139" s="3"/>
      <c r="F139" s="26" t="s">
        <v>150</v>
      </c>
      <c r="G139" s="3"/>
      <c r="H139" s="6">
        <v>3</v>
      </c>
    </row>
    <row r="140" spans="3:8" ht="45" x14ac:dyDescent="0.25">
      <c r="C140" s="6">
        <v>4</v>
      </c>
      <c r="D140" s="26" t="s">
        <v>151</v>
      </c>
      <c r="E140" s="3"/>
      <c r="F140" s="26" t="s">
        <v>152</v>
      </c>
      <c r="G140" s="3"/>
      <c r="H140" s="6">
        <v>4</v>
      </c>
    </row>
    <row r="141" spans="3:8" ht="45" x14ac:dyDescent="0.25">
      <c r="C141" s="6">
        <v>5</v>
      </c>
      <c r="D141" s="27" t="s">
        <v>153</v>
      </c>
      <c r="E141" s="3"/>
      <c r="F141" s="27" t="s">
        <v>154</v>
      </c>
      <c r="G141" s="3"/>
      <c r="H141" s="6">
        <v>5</v>
      </c>
    </row>
    <row r="142" spans="3:8" x14ac:dyDescent="0.25">
      <c r="D142" s="3" t="s">
        <v>72</v>
      </c>
      <c r="E142" s="3"/>
      <c r="F142" s="3" t="s">
        <v>68</v>
      </c>
      <c r="G142" s="3"/>
    </row>
    <row r="143" spans="3:8" x14ac:dyDescent="0.25">
      <c r="D143" s="3" t="s">
        <v>73</v>
      </c>
      <c r="E143" s="3"/>
      <c r="F143" s="3" t="s">
        <v>70</v>
      </c>
      <c r="G143" s="3"/>
    </row>
    <row r="144" spans="3:8" x14ac:dyDescent="0.25">
      <c r="D144" s="8"/>
      <c r="E144" s="8"/>
      <c r="F144" s="5"/>
      <c r="G144" s="8"/>
    </row>
    <row r="145" spans="3:8" x14ac:dyDescent="0.2">
      <c r="D145" s="24" t="s">
        <v>105</v>
      </c>
      <c r="E145" s="3"/>
      <c r="F145" s="18" t="s">
        <v>75</v>
      </c>
    </row>
    <row r="146" spans="3:8" ht="45" x14ac:dyDescent="0.25">
      <c r="C146" s="6">
        <v>1</v>
      </c>
      <c r="D146" s="26" t="s">
        <v>155</v>
      </c>
      <c r="E146" s="3"/>
      <c r="F146" s="26" t="s">
        <v>156</v>
      </c>
      <c r="G146" s="3"/>
      <c r="H146" s="6">
        <v>1</v>
      </c>
    </row>
    <row r="147" spans="3:8" ht="60" x14ac:dyDescent="0.25">
      <c r="C147" s="6">
        <v>2</v>
      </c>
      <c r="D147" s="26" t="s">
        <v>157</v>
      </c>
      <c r="E147" s="3"/>
      <c r="F147" s="26" t="s">
        <v>158</v>
      </c>
      <c r="G147" s="3"/>
      <c r="H147" s="6">
        <v>2</v>
      </c>
    </row>
    <row r="148" spans="3:8" ht="45" x14ac:dyDescent="0.25">
      <c r="C148" s="6">
        <v>3</v>
      </c>
      <c r="D148" s="26" t="s">
        <v>159</v>
      </c>
      <c r="E148" s="3"/>
      <c r="F148" s="26" t="s">
        <v>160</v>
      </c>
      <c r="G148" s="3"/>
      <c r="H148" s="6">
        <v>3</v>
      </c>
    </row>
    <row r="149" spans="3:8" ht="75" x14ac:dyDescent="0.25">
      <c r="C149" s="6">
        <v>4</v>
      </c>
      <c r="D149" s="26" t="s">
        <v>161</v>
      </c>
      <c r="E149" s="3"/>
      <c r="F149" s="26" t="s">
        <v>162</v>
      </c>
      <c r="G149" s="3"/>
      <c r="H149" s="6">
        <v>4</v>
      </c>
    </row>
    <row r="150" spans="3:8" ht="45" x14ac:dyDescent="0.25">
      <c r="D150" s="3" t="s">
        <v>95</v>
      </c>
      <c r="E150" s="3"/>
      <c r="F150" s="26" t="s">
        <v>163</v>
      </c>
      <c r="G150" s="3"/>
      <c r="H150" s="6">
        <v>5</v>
      </c>
    </row>
    <row r="151" spans="3:8" ht="45" x14ac:dyDescent="0.25">
      <c r="D151" s="3" t="s">
        <v>96</v>
      </c>
      <c r="E151" s="3"/>
      <c r="F151" s="26" t="s">
        <v>164</v>
      </c>
      <c r="G151" s="3"/>
      <c r="H151" s="6">
        <v>6</v>
      </c>
    </row>
    <row r="152" spans="3:8" ht="90" x14ac:dyDescent="0.25">
      <c r="D152" s="32"/>
      <c r="E152" s="8"/>
      <c r="F152" s="27" t="s">
        <v>165</v>
      </c>
      <c r="G152" s="3"/>
      <c r="H152" s="6">
        <v>7</v>
      </c>
    </row>
    <row r="153" spans="3:8" x14ac:dyDescent="0.25">
      <c r="D153" s="33"/>
      <c r="E153" s="8"/>
      <c r="F153" s="3" t="s">
        <v>87</v>
      </c>
      <c r="G153" s="3"/>
    </row>
    <row r="154" spans="3:8" x14ac:dyDescent="0.25">
      <c r="D154" s="8"/>
      <c r="E154" s="34"/>
      <c r="F154" s="3" t="s">
        <v>89</v>
      </c>
      <c r="G154" s="3"/>
    </row>
    <row r="155" spans="3:8" x14ac:dyDescent="0.25">
      <c r="D155" s="5"/>
      <c r="F155" s="5"/>
    </row>
    <row r="156" spans="3:8" x14ac:dyDescent="0.25">
      <c r="D156" s="5"/>
      <c r="F156" s="5"/>
    </row>
    <row r="157" spans="3:8" x14ac:dyDescent="0.2">
      <c r="C157" s="35" t="s">
        <v>166</v>
      </c>
      <c r="D157" s="18" t="s">
        <v>97</v>
      </c>
      <c r="E157" s="18"/>
      <c r="F157" s="18" t="s">
        <v>60</v>
      </c>
      <c r="G157" s="18"/>
    </row>
    <row r="158" spans="3:8" ht="45" x14ac:dyDescent="0.25">
      <c r="C158" s="6">
        <v>1</v>
      </c>
      <c r="D158" s="26" t="s">
        <v>167</v>
      </c>
      <c r="E158" s="3"/>
      <c r="F158" s="26" t="s">
        <v>168</v>
      </c>
      <c r="G158" s="3"/>
      <c r="H158" s="6">
        <v>1</v>
      </c>
    </row>
    <row r="159" spans="3:8" ht="60" x14ac:dyDescent="0.25">
      <c r="C159" s="6">
        <v>2</v>
      </c>
      <c r="D159" s="26" t="s">
        <v>169</v>
      </c>
      <c r="E159" s="3"/>
      <c r="F159" s="26" t="s">
        <v>170</v>
      </c>
      <c r="G159" s="3"/>
      <c r="H159" s="6">
        <v>2</v>
      </c>
    </row>
    <row r="160" spans="3:8" ht="60" x14ac:dyDescent="0.25">
      <c r="C160" s="6">
        <v>3</v>
      </c>
      <c r="D160" s="26" t="s">
        <v>171</v>
      </c>
      <c r="E160" s="3"/>
      <c r="F160" s="26" t="s">
        <v>172</v>
      </c>
      <c r="G160" s="3"/>
      <c r="H160" s="6">
        <v>3</v>
      </c>
    </row>
    <row r="161" spans="3:8" ht="45" x14ac:dyDescent="0.25">
      <c r="C161" s="6">
        <v>4</v>
      </c>
      <c r="D161" s="27" t="s">
        <v>173</v>
      </c>
      <c r="E161" s="3"/>
      <c r="F161" s="3" t="s">
        <v>68</v>
      </c>
      <c r="G161" s="3"/>
    </row>
    <row r="162" spans="3:8" x14ac:dyDescent="0.25">
      <c r="D162" s="3" t="s">
        <v>72</v>
      </c>
      <c r="E162" s="3"/>
      <c r="F162" s="3" t="s">
        <v>70</v>
      </c>
      <c r="G162" s="3"/>
    </row>
    <row r="163" spans="3:8" x14ac:dyDescent="0.25">
      <c r="D163" s="3" t="s">
        <v>73</v>
      </c>
      <c r="E163" s="3"/>
      <c r="F163" s="5"/>
      <c r="G163" s="8"/>
    </row>
    <row r="164" spans="3:8" x14ac:dyDescent="0.25">
      <c r="D164" s="5"/>
      <c r="E164" s="8"/>
      <c r="F164" s="5"/>
      <c r="G164" s="8"/>
    </row>
    <row r="165" spans="3:8" x14ac:dyDescent="0.2">
      <c r="D165" s="24" t="s">
        <v>105</v>
      </c>
      <c r="E165" s="3"/>
      <c r="F165" s="18" t="s">
        <v>75</v>
      </c>
    </row>
    <row r="166" spans="3:8" ht="60" x14ac:dyDescent="0.25">
      <c r="C166" s="6">
        <v>1</v>
      </c>
      <c r="D166" s="26" t="s">
        <v>174</v>
      </c>
      <c r="E166" s="3"/>
      <c r="F166" s="26" t="s">
        <v>175</v>
      </c>
      <c r="G166" s="3"/>
      <c r="H166" s="6">
        <v>1</v>
      </c>
    </row>
    <row r="167" spans="3:8" ht="75" x14ac:dyDescent="0.25">
      <c r="C167" s="6">
        <v>2</v>
      </c>
      <c r="D167" s="27" t="s">
        <v>176</v>
      </c>
      <c r="E167" s="3"/>
      <c r="F167" s="26" t="s">
        <v>115</v>
      </c>
      <c r="G167" s="3"/>
      <c r="H167" s="6">
        <v>2</v>
      </c>
    </row>
    <row r="168" spans="3:8" ht="45" x14ac:dyDescent="0.25">
      <c r="D168" s="3" t="s">
        <v>95</v>
      </c>
      <c r="E168" s="3"/>
      <c r="F168" s="26" t="s">
        <v>177</v>
      </c>
      <c r="G168" s="3"/>
      <c r="H168" s="6">
        <v>3</v>
      </c>
    </row>
    <row r="169" spans="3:8" ht="60" x14ac:dyDescent="0.25">
      <c r="D169" s="3" t="s">
        <v>96</v>
      </c>
      <c r="E169" s="3"/>
      <c r="F169" s="26" t="s">
        <v>178</v>
      </c>
      <c r="G169" s="3"/>
      <c r="H169" s="6">
        <v>4</v>
      </c>
    </row>
    <row r="170" spans="3:8" ht="45" x14ac:dyDescent="0.25">
      <c r="D170" s="5"/>
      <c r="E170" s="36"/>
      <c r="F170" s="26" t="s">
        <v>179</v>
      </c>
      <c r="G170" s="3"/>
      <c r="H170" s="6">
        <v>5</v>
      </c>
    </row>
    <row r="171" spans="3:8" ht="45" x14ac:dyDescent="0.25">
      <c r="D171" s="5"/>
      <c r="E171" s="36"/>
      <c r="F171" s="27" t="s">
        <v>180</v>
      </c>
      <c r="G171" s="3"/>
      <c r="H171" s="6">
        <v>6</v>
      </c>
    </row>
    <row r="172" spans="3:8" x14ac:dyDescent="0.25">
      <c r="D172" s="32"/>
      <c r="E172" s="8"/>
      <c r="F172" s="3" t="s">
        <v>87</v>
      </c>
      <c r="G172" s="3"/>
    </row>
    <row r="173" spans="3:8" x14ac:dyDescent="0.25">
      <c r="D173" s="33"/>
      <c r="E173" s="8"/>
      <c r="F173" s="3" t="s">
        <v>89</v>
      </c>
      <c r="G173" s="3"/>
    </row>
    <row r="174" spans="3:8" x14ac:dyDescent="0.25">
      <c r="D174" s="5"/>
      <c r="F174" s="5"/>
    </row>
    <row r="175" spans="3:8" x14ac:dyDescent="0.25">
      <c r="D175" s="5"/>
      <c r="F175" s="5"/>
    </row>
    <row r="176" spans="3:8" x14ac:dyDescent="0.2">
      <c r="C176" s="35" t="s">
        <v>181</v>
      </c>
      <c r="D176" s="18" t="s">
        <v>97</v>
      </c>
      <c r="E176" s="18"/>
      <c r="F176" s="18" t="s">
        <v>60</v>
      </c>
      <c r="G176" s="18"/>
    </row>
    <row r="177" spans="3:8" ht="75" x14ac:dyDescent="0.25">
      <c r="C177" s="6">
        <v>1</v>
      </c>
      <c r="D177" s="27" t="s">
        <v>182</v>
      </c>
      <c r="E177" s="25"/>
      <c r="F177" s="26" t="s">
        <v>183</v>
      </c>
      <c r="G177" s="3"/>
      <c r="H177" s="6">
        <v>1</v>
      </c>
    </row>
    <row r="178" spans="3:8" ht="60" x14ac:dyDescent="0.25">
      <c r="D178" s="3" t="s">
        <v>72</v>
      </c>
      <c r="E178" s="25"/>
      <c r="F178" s="26" t="s">
        <v>184</v>
      </c>
      <c r="G178" s="3"/>
      <c r="H178" s="6">
        <v>2</v>
      </c>
    </row>
    <row r="179" spans="3:8" ht="30" x14ac:dyDescent="0.25">
      <c r="D179" s="3" t="s">
        <v>73</v>
      </c>
      <c r="E179" s="25"/>
      <c r="F179" s="26" t="s">
        <v>185</v>
      </c>
      <c r="G179" s="3"/>
      <c r="H179" s="6">
        <v>3</v>
      </c>
    </row>
    <row r="180" spans="3:8" ht="30" x14ac:dyDescent="0.25">
      <c r="D180" s="8"/>
      <c r="E180" s="8"/>
      <c r="F180" s="26" t="s">
        <v>186</v>
      </c>
      <c r="G180" s="3"/>
      <c r="H180" s="6">
        <v>4</v>
      </c>
    </row>
    <row r="181" spans="3:8" ht="30" x14ac:dyDescent="0.25">
      <c r="D181" s="8"/>
      <c r="E181" s="8"/>
      <c r="F181" s="26" t="s">
        <v>187</v>
      </c>
      <c r="G181" s="3"/>
      <c r="H181" s="6">
        <v>5</v>
      </c>
    </row>
    <row r="182" spans="3:8" ht="30" x14ac:dyDescent="0.25">
      <c r="D182" s="8"/>
      <c r="E182" s="8"/>
      <c r="F182" s="26" t="s">
        <v>188</v>
      </c>
      <c r="G182" s="3"/>
      <c r="H182" s="6">
        <v>6</v>
      </c>
    </row>
    <row r="183" spans="3:8" ht="45" x14ac:dyDescent="0.25">
      <c r="D183" s="8"/>
      <c r="E183" s="8"/>
      <c r="F183" s="27" t="s">
        <v>189</v>
      </c>
      <c r="G183" s="3"/>
      <c r="H183" s="6">
        <v>7</v>
      </c>
    </row>
    <row r="184" spans="3:8" x14ac:dyDescent="0.25">
      <c r="D184" s="33"/>
      <c r="E184" s="8"/>
      <c r="F184" s="3" t="s">
        <v>68</v>
      </c>
      <c r="G184" s="3"/>
    </row>
    <row r="185" spans="3:8" x14ac:dyDescent="0.25">
      <c r="D185" s="8"/>
      <c r="E185" s="8"/>
      <c r="F185" s="3" t="s">
        <v>70</v>
      </c>
      <c r="G185" s="3"/>
    </row>
    <row r="186" spans="3:8" x14ac:dyDescent="0.25">
      <c r="D186" s="8"/>
      <c r="E186" s="8"/>
      <c r="F186" s="5"/>
      <c r="G186" s="8"/>
    </row>
    <row r="187" spans="3:8" x14ac:dyDescent="0.2">
      <c r="D187" s="37" t="s">
        <v>105</v>
      </c>
      <c r="E187" s="3"/>
      <c r="F187" s="18" t="s">
        <v>75</v>
      </c>
    </row>
    <row r="188" spans="3:8" ht="45" x14ac:dyDescent="0.25">
      <c r="C188" s="6">
        <v>1</v>
      </c>
      <c r="D188" s="26" t="s">
        <v>190</v>
      </c>
      <c r="E188" s="3"/>
      <c r="F188" s="26" t="s">
        <v>191</v>
      </c>
      <c r="G188" s="3"/>
      <c r="H188" s="6">
        <v>1</v>
      </c>
    </row>
    <row r="189" spans="3:8" ht="75" x14ac:dyDescent="0.25">
      <c r="C189" s="6">
        <v>2</v>
      </c>
      <c r="D189" s="27" t="s">
        <v>192</v>
      </c>
      <c r="E189" s="3"/>
      <c r="F189" s="26" t="s">
        <v>193</v>
      </c>
      <c r="G189" s="3"/>
      <c r="H189" s="6">
        <v>2</v>
      </c>
    </row>
    <row r="190" spans="3:8" ht="75" x14ac:dyDescent="0.25">
      <c r="D190" s="3" t="s">
        <v>95</v>
      </c>
      <c r="E190" s="3"/>
      <c r="F190" s="27" t="s">
        <v>194</v>
      </c>
      <c r="G190" s="3"/>
      <c r="H190" s="6">
        <v>3</v>
      </c>
    </row>
    <row r="191" spans="3:8" x14ac:dyDescent="0.25">
      <c r="D191" s="3" t="s">
        <v>96</v>
      </c>
      <c r="E191" s="3"/>
      <c r="F191" s="3" t="s">
        <v>87</v>
      </c>
      <c r="G191" s="3"/>
    </row>
    <row r="192" spans="3:8" x14ac:dyDescent="0.25">
      <c r="D192" s="5"/>
      <c r="E192" s="36"/>
      <c r="F192" s="3" t="s">
        <v>89</v>
      </c>
      <c r="G192" s="3"/>
    </row>
    <row r="193" spans="3:8" x14ac:dyDescent="0.25">
      <c r="D193" s="5"/>
      <c r="F193" s="5"/>
    </row>
    <row r="194" spans="3:8" x14ac:dyDescent="0.25">
      <c r="D194" s="5"/>
      <c r="F194" s="5"/>
    </row>
    <row r="195" spans="3:8" x14ac:dyDescent="0.2">
      <c r="C195" s="35" t="s">
        <v>195</v>
      </c>
      <c r="D195" s="18" t="s">
        <v>97</v>
      </c>
      <c r="E195" s="18"/>
      <c r="F195" s="18" t="s">
        <v>60</v>
      </c>
      <c r="G195" s="18"/>
    </row>
    <row r="196" spans="3:8" ht="45" x14ac:dyDescent="0.25">
      <c r="C196" s="6">
        <v>1</v>
      </c>
      <c r="D196" s="27" t="s">
        <v>196</v>
      </c>
      <c r="E196" s="25"/>
      <c r="F196" s="26" t="s">
        <v>197</v>
      </c>
      <c r="G196" s="3"/>
      <c r="H196" s="6">
        <v>1</v>
      </c>
    </row>
    <row r="197" spans="3:8" ht="30" x14ac:dyDescent="0.25">
      <c r="D197" s="3" t="s">
        <v>72</v>
      </c>
      <c r="E197" s="25"/>
      <c r="F197" s="26" t="s">
        <v>198</v>
      </c>
      <c r="G197" s="3"/>
      <c r="H197" s="6">
        <v>2</v>
      </c>
    </row>
    <row r="198" spans="3:8" ht="45" x14ac:dyDescent="0.25">
      <c r="D198" s="3" t="s">
        <v>73</v>
      </c>
      <c r="E198" s="25"/>
      <c r="F198" s="26" t="s">
        <v>199</v>
      </c>
      <c r="G198" s="3"/>
      <c r="H198" s="6">
        <v>3</v>
      </c>
    </row>
    <row r="199" spans="3:8" ht="45" x14ac:dyDescent="0.25">
      <c r="D199" s="8"/>
      <c r="E199" s="8"/>
      <c r="F199" s="27" t="s">
        <v>200</v>
      </c>
      <c r="G199" s="3"/>
      <c r="H199" s="6">
        <v>4</v>
      </c>
    </row>
    <row r="200" spans="3:8" x14ac:dyDescent="0.25">
      <c r="D200" s="8"/>
      <c r="E200" s="8"/>
      <c r="F200" s="3" t="s">
        <v>68</v>
      </c>
      <c r="G200" s="3"/>
    </row>
    <row r="201" spans="3:8" x14ac:dyDescent="0.25">
      <c r="D201" s="8"/>
      <c r="E201" s="8"/>
      <c r="F201" s="3" t="s">
        <v>70</v>
      </c>
      <c r="G201" s="3"/>
    </row>
    <row r="202" spans="3:8" x14ac:dyDescent="0.25">
      <c r="D202" s="8"/>
      <c r="E202" s="8"/>
      <c r="F202" s="33"/>
      <c r="G202" s="8"/>
    </row>
    <row r="203" spans="3:8" x14ac:dyDescent="0.2">
      <c r="D203" s="37" t="s">
        <v>105</v>
      </c>
      <c r="E203" s="3"/>
      <c r="F203" s="18" t="s">
        <v>75</v>
      </c>
    </row>
    <row r="204" spans="3:8" ht="60" x14ac:dyDescent="0.25">
      <c r="C204" s="6">
        <v>1</v>
      </c>
      <c r="D204" s="26" t="s">
        <v>201</v>
      </c>
      <c r="E204" s="25"/>
      <c r="F204" s="26" t="s">
        <v>202</v>
      </c>
      <c r="G204" s="3"/>
      <c r="H204" s="6">
        <v>1</v>
      </c>
    </row>
    <row r="205" spans="3:8" ht="45" x14ac:dyDescent="0.25">
      <c r="C205" s="6">
        <v>2</v>
      </c>
      <c r="D205" s="3" t="s">
        <v>95</v>
      </c>
      <c r="E205" s="25"/>
      <c r="F205" s="26" t="s">
        <v>203</v>
      </c>
      <c r="G205" s="3"/>
      <c r="H205" s="6">
        <v>2</v>
      </c>
    </row>
    <row r="206" spans="3:8" ht="60" x14ac:dyDescent="0.25">
      <c r="D206" s="3" t="s">
        <v>96</v>
      </c>
      <c r="E206" s="25"/>
      <c r="F206" s="26" t="s">
        <v>162</v>
      </c>
      <c r="G206" s="3"/>
      <c r="H206" s="6">
        <v>3</v>
      </c>
    </row>
    <row r="207" spans="3:8" ht="45" x14ac:dyDescent="0.25">
      <c r="D207" s="8"/>
      <c r="E207" s="8"/>
      <c r="F207" s="27" t="s">
        <v>204</v>
      </c>
      <c r="G207" s="3"/>
    </row>
    <row r="208" spans="3:8" x14ac:dyDescent="0.25">
      <c r="D208" s="5"/>
      <c r="E208" s="8"/>
      <c r="F208" s="3" t="s">
        <v>87</v>
      </c>
      <c r="G208" s="3"/>
    </row>
    <row r="209" spans="3:7" x14ac:dyDescent="0.25">
      <c r="D209" s="5"/>
      <c r="E209" s="8"/>
      <c r="F209" s="3" t="s">
        <v>89</v>
      </c>
      <c r="G209" s="3"/>
    </row>
    <row r="211" spans="3:7" x14ac:dyDescent="0.25">
      <c r="F211" s="4" t="s">
        <v>205</v>
      </c>
    </row>
    <row r="212" spans="3:7" x14ac:dyDescent="0.25">
      <c r="C212" s="6" t="s">
        <v>206</v>
      </c>
      <c r="D212" s="4" t="s">
        <v>207</v>
      </c>
      <c r="F212" s="38"/>
      <c r="G212" s="39"/>
    </row>
    <row r="213" spans="3:7" x14ac:dyDescent="0.25">
      <c r="D213" s="4" t="s">
        <v>208</v>
      </c>
      <c r="G213" s="39"/>
    </row>
    <row r="214" spans="3:7" x14ac:dyDescent="0.25">
      <c r="D214" s="4" t="s">
        <v>209</v>
      </c>
      <c r="G214" s="39"/>
    </row>
    <row r="215" spans="3:7" x14ac:dyDescent="0.25">
      <c r="D215" s="4" t="s">
        <v>210</v>
      </c>
      <c r="G215" s="39"/>
    </row>
    <row r="216" spans="3:7" x14ac:dyDescent="0.25">
      <c r="D216" s="4" t="s">
        <v>211</v>
      </c>
      <c r="G216" s="39"/>
    </row>
    <row r="217" spans="3:7" x14ac:dyDescent="0.25">
      <c r="D217" s="4" t="s">
        <v>212</v>
      </c>
      <c r="G217" s="39"/>
    </row>
    <row r="218" spans="3:7" ht="30" x14ac:dyDescent="0.25">
      <c r="D218" s="4" t="s">
        <v>213</v>
      </c>
      <c r="G218" s="39"/>
    </row>
    <row r="220" spans="3:7" x14ac:dyDescent="0.25">
      <c r="D220" s="4" t="s">
        <v>214</v>
      </c>
      <c r="E220" s="39"/>
      <c r="F220" s="59">
        <f>(E212*G212+E213*G213+E214*G214+E215*G215+E216*G216+E217*G217+E218*G218)/100</f>
        <v>0</v>
      </c>
    </row>
    <row r="222" spans="3:7" ht="15.75" thickBot="1" x14ac:dyDescent="0.3"/>
    <row r="223" spans="3:7" ht="29.25" thickBot="1" x14ac:dyDescent="0.3">
      <c r="C223" s="13" t="s">
        <v>215</v>
      </c>
      <c r="D223" s="18" t="s">
        <v>216</v>
      </c>
      <c r="E223" s="18" t="s">
        <v>217</v>
      </c>
      <c r="F223" s="40" t="s">
        <v>217</v>
      </c>
    </row>
    <row r="224" spans="3:7" ht="45.75" thickBot="1" x14ac:dyDescent="0.3">
      <c r="D224" s="28" t="s">
        <v>218</v>
      </c>
      <c r="E224" s="3" t="s">
        <v>219</v>
      </c>
      <c r="F224" s="41" t="s">
        <v>219</v>
      </c>
    </row>
    <row r="225" spans="3:6" ht="45.75" thickBot="1" x14ac:dyDescent="0.3">
      <c r="D225" s="28" t="s">
        <v>220</v>
      </c>
      <c r="E225" s="3" t="s">
        <v>221</v>
      </c>
      <c r="F225" s="41" t="s">
        <v>221</v>
      </c>
    </row>
    <row r="226" spans="3:6" ht="60.75" thickBot="1" x14ac:dyDescent="0.3">
      <c r="D226" s="28" t="s">
        <v>222</v>
      </c>
      <c r="E226" s="3" t="s">
        <v>223</v>
      </c>
      <c r="F226" s="41" t="s">
        <v>223</v>
      </c>
    </row>
    <row r="227" spans="3:6" ht="45.75" thickBot="1" x14ac:dyDescent="0.3">
      <c r="D227" s="28" t="s">
        <v>224</v>
      </c>
      <c r="E227" s="3" t="s">
        <v>225</v>
      </c>
      <c r="F227" s="41" t="s">
        <v>225</v>
      </c>
    </row>
    <row r="228" spans="3:6" ht="30.75" thickBot="1" x14ac:dyDescent="0.3">
      <c r="D228" s="28" t="s">
        <v>226</v>
      </c>
      <c r="E228" s="3" t="s">
        <v>227</v>
      </c>
      <c r="F228" s="41" t="s">
        <v>227</v>
      </c>
    </row>
    <row r="231" spans="3:6" ht="71.25" x14ac:dyDescent="0.25">
      <c r="C231" s="13" t="s">
        <v>228</v>
      </c>
      <c r="D231" s="47" t="s">
        <v>229</v>
      </c>
      <c r="E231" s="3"/>
    </row>
    <row r="232" spans="3:6" ht="71.25" x14ac:dyDescent="0.25">
      <c r="D232" s="47" t="s">
        <v>230</v>
      </c>
      <c r="E232" s="3"/>
    </row>
    <row r="233" spans="3:6" ht="71.25" x14ac:dyDescent="0.25">
      <c r="D233" s="47" t="s">
        <v>231</v>
      </c>
      <c r="E233" s="3"/>
    </row>
    <row r="234" spans="3:6" ht="71.25" x14ac:dyDescent="0.25">
      <c r="D234" s="47" t="s">
        <v>232</v>
      </c>
      <c r="E234" s="3"/>
    </row>
    <row r="235" spans="3:6" ht="99.75" x14ac:dyDescent="0.2">
      <c r="D235" s="48" t="s">
        <v>233</v>
      </c>
      <c r="E235"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3:G136"/>
  <sheetViews>
    <sheetView showGridLines="0" tabSelected="1" topLeftCell="A91" zoomScaleNormal="100" workbookViewId="0">
      <selection activeCell="C110" sqref="C110:E115"/>
    </sheetView>
  </sheetViews>
  <sheetFormatPr defaultRowHeight="15" x14ac:dyDescent="0.25"/>
  <cols>
    <col min="1" max="1" width="9.140625" style="42"/>
    <col min="2" max="2" width="15.140625" style="42" customWidth="1"/>
    <col min="3" max="3" width="30.28515625" style="44" customWidth="1"/>
    <col min="4" max="4" width="53.5703125" style="50" customWidth="1"/>
    <col min="5" max="5" width="52.5703125" style="44" customWidth="1"/>
    <col min="6" max="7" width="9.140625" style="42"/>
  </cols>
  <sheetData>
    <row r="3" spans="4:5" x14ac:dyDescent="0.25">
      <c r="D3" s="51" t="s">
        <v>246</v>
      </c>
    </row>
    <row r="4" spans="4:5" x14ac:dyDescent="0.25">
      <c r="D4" s="51" t="s">
        <v>1</v>
      </c>
      <c r="E4" s="52"/>
    </row>
    <row r="7" spans="4:5" x14ac:dyDescent="0.25">
      <c r="E7" s="43"/>
    </row>
    <row r="8" spans="4:5" x14ac:dyDescent="0.25">
      <c r="D8" s="51" t="s">
        <v>234</v>
      </c>
    </row>
    <row r="9" spans="4:5" x14ac:dyDescent="0.25">
      <c r="D9" s="16" t="s">
        <v>13</v>
      </c>
      <c r="E9" s="2"/>
    </row>
    <row r="10" spans="4:5" x14ac:dyDescent="0.25">
      <c r="D10" s="16" t="s">
        <v>14</v>
      </c>
      <c r="E10" s="2"/>
    </row>
    <row r="11" spans="4:5" x14ac:dyDescent="0.25">
      <c r="D11" s="16" t="s">
        <v>15</v>
      </c>
      <c r="E11" s="2"/>
    </row>
    <row r="12" spans="4:5" x14ac:dyDescent="0.25">
      <c r="D12" s="16" t="s">
        <v>16</v>
      </c>
      <c r="E12" s="2"/>
    </row>
    <row r="13" spans="4:5" x14ac:dyDescent="0.25">
      <c r="D13" s="16" t="s">
        <v>17</v>
      </c>
      <c r="E13" s="17"/>
    </row>
    <row r="14" spans="4:5" x14ac:dyDescent="0.25">
      <c r="D14" s="16" t="s">
        <v>18</v>
      </c>
      <c r="E14" s="2"/>
    </row>
    <row r="15" spans="4:5" x14ac:dyDescent="0.25">
      <c r="D15" s="16" t="s">
        <v>19</v>
      </c>
      <c r="E15" s="2"/>
    </row>
    <row r="16" spans="4:5" x14ac:dyDescent="0.25">
      <c r="D16" s="16" t="s">
        <v>20</v>
      </c>
      <c r="E16" s="2"/>
    </row>
    <row r="17" spans="3:5" x14ac:dyDescent="0.25">
      <c r="D17" s="16" t="s">
        <v>21</v>
      </c>
      <c r="E17" s="2"/>
    </row>
    <row r="18" spans="3:5" x14ac:dyDescent="0.25">
      <c r="D18" s="16" t="s">
        <v>22</v>
      </c>
      <c r="E18" s="2"/>
    </row>
    <row r="19" spans="3:5" x14ac:dyDescent="0.25">
      <c r="D19" s="16" t="s">
        <v>23</v>
      </c>
      <c r="E19" s="2"/>
    </row>
    <row r="20" spans="3:5" x14ac:dyDescent="0.25">
      <c r="D20" s="16" t="s">
        <v>24</v>
      </c>
      <c r="E20" s="2"/>
    </row>
    <row r="21" spans="3:5" x14ac:dyDescent="0.25">
      <c r="D21" s="16" t="s">
        <v>25</v>
      </c>
      <c r="E21" s="2"/>
    </row>
    <row r="22" spans="3:5" x14ac:dyDescent="0.25">
      <c r="D22" s="16" t="s">
        <v>26</v>
      </c>
      <c r="E22" s="2"/>
    </row>
    <row r="23" spans="3:5" x14ac:dyDescent="0.25">
      <c r="D23" s="43"/>
    </row>
    <row r="24" spans="3:5" x14ac:dyDescent="0.25">
      <c r="D24" s="43"/>
    </row>
    <row r="25" spans="3:5" x14ac:dyDescent="0.25">
      <c r="D25" s="43"/>
    </row>
    <row r="27" spans="3:5" ht="57" x14ac:dyDescent="0.25">
      <c r="C27" s="53" t="s">
        <v>228</v>
      </c>
      <c r="D27" s="58" t="s">
        <v>229</v>
      </c>
      <c r="E27" s="3"/>
    </row>
    <row r="28" spans="3:5" ht="57" x14ac:dyDescent="0.25">
      <c r="D28" s="58" t="s">
        <v>230</v>
      </c>
      <c r="E28" s="3"/>
    </row>
    <row r="29" spans="3:5" ht="57" x14ac:dyDescent="0.25">
      <c r="D29" s="58" t="s">
        <v>231</v>
      </c>
      <c r="E29" s="3"/>
    </row>
    <row r="30" spans="3:5" ht="57" x14ac:dyDescent="0.25">
      <c r="D30" s="58" t="s">
        <v>232</v>
      </c>
      <c r="E30" s="3"/>
    </row>
    <row r="31" spans="3:5" ht="72" x14ac:dyDescent="0.25">
      <c r="D31" s="48" t="s">
        <v>233</v>
      </c>
      <c r="E31" s="3"/>
    </row>
    <row r="34" spans="3:5" x14ac:dyDescent="0.25">
      <c r="D34" s="45"/>
    </row>
    <row r="35" spans="3:5" x14ac:dyDescent="0.25">
      <c r="D35" s="45"/>
    </row>
    <row r="36" spans="3:5" ht="28.5" x14ac:dyDescent="0.25">
      <c r="C36" s="46" t="s">
        <v>235</v>
      </c>
      <c r="D36" s="46" t="s">
        <v>59</v>
      </c>
      <c r="E36" s="46" t="s">
        <v>60</v>
      </c>
    </row>
    <row r="37" spans="3:5" x14ac:dyDescent="0.25">
      <c r="D37" s="49" t="s">
        <v>244</v>
      </c>
      <c r="E37" s="49" t="s">
        <v>244</v>
      </c>
    </row>
    <row r="38" spans="3:5" x14ac:dyDescent="0.25">
      <c r="D38" s="46" t="s">
        <v>105</v>
      </c>
      <c r="E38" s="46" t="s">
        <v>75</v>
      </c>
    </row>
    <row r="39" spans="3:5" x14ac:dyDescent="0.25">
      <c r="D39" s="49" t="s">
        <v>244</v>
      </c>
      <c r="E39" s="49" t="s">
        <v>244</v>
      </c>
    </row>
    <row r="40" spans="3:5" x14ac:dyDescent="0.25">
      <c r="D40" s="61" t="s">
        <v>245</v>
      </c>
      <c r="E40" s="61"/>
    </row>
    <row r="41" spans="3:5" x14ac:dyDescent="0.25">
      <c r="D41" s="45"/>
    </row>
    <row r="43" spans="3:5" x14ac:dyDescent="0.25">
      <c r="D43" s="44"/>
    </row>
    <row r="44" spans="3:5" x14ac:dyDescent="0.25">
      <c r="D44" s="43"/>
    </row>
    <row r="45" spans="3:5" x14ac:dyDescent="0.25">
      <c r="C45" s="46" t="s">
        <v>236</v>
      </c>
      <c r="D45" s="46" t="s">
        <v>59</v>
      </c>
      <c r="E45" s="46" t="s">
        <v>60</v>
      </c>
    </row>
    <row r="46" spans="3:5" x14ac:dyDescent="0.25">
      <c r="D46" s="49" t="s">
        <v>244</v>
      </c>
      <c r="E46" s="49" t="s">
        <v>244</v>
      </c>
    </row>
    <row r="47" spans="3:5" x14ac:dyDescent="0.25">
      <c r="D47" s="46" t="s">
        <v>105</v>
      </c>
      <c r="E47" s="46" t="s">
        <v>75</v>
      </c>
    </row>
    <row r="48" spans="3:5" x14ac:dyDescent="0.25">
      <c r="D48" s="49" t="s">
        <v>244</v>
      </c>
      <c r="E48" s="49" t="s">
        <v>244</v>
      </c>
    </row>
    <row r="49" spans="3:5" x14ac:dyDescent="0.25">
      <c r="D49" s="61" t="s">
        <v>245</v>
      </c>
      <c r="E49" s="61"/>
    </row>
    <row r="50" spans="3:5" x14ac:dyDescent="0.25">
      <c r="D50" s="43"/>
    </row>
    <row r="51" spans="3:5" x14ac:dyDescent="0.25">
      <c r="D51" s="44"/>
    </row>
    <row r="52" spans="3:5" x14ac:dyDescent="0.25">
      <c r="D52" s="44"/>
    </row>
    <row r="53" spans="3:5" x14ac:dyDescent="0.25">
      <c r="D53" s="43"/>
    </row>
    <row r="54" spans="3:5" ht="28.5" x14ac:dyDescent="0.25">
      <c r="C54" s="46" t="s">
        <v>237</v>
      </c>
      <c r="D54" s="46" t="s">
        <v>59</v>
      </c>
      <c r="E54" s="46" t="s">
        <v>60</v>
      </c>
    </row>
    <row r="55" spans="3:5" x14ac:dyDescent="0.25">
      <c r="D55" s="49" t="s">
        <v>244</v>
      </c>
      <c r="E55" s="49" t="s">
        <v>244</v>
      </c>
    </row>
    <row r="56" spans="3:5" x14ac:dyDescent="0.25">
      <c r="D56" s="46" t="s">
        <v>105</v>
      </c>
      <c r="E56" s="46" t="s">
        <v>75</v>
      </c>
    </row>
    <row r="57" spans="3:5" x14ac:dyDescent="0.25">
      <c r="D57" s="49" t="s">
        <v>244</v>
      </c>
      <c r="E57" s="49" t="s">
        <v>244</v>
      </c>
    </row>
    <row r="58" spans="3:5" x14ac:dyDescent="0.25">
      <c r="D58" s="61" t="s">
        <v>245</v>
      </c>
      <c r="E58" s="61"/>
    </row>
    <row r="59" spans="3:5" x14ac:dyDescent="0.25">
      <c r="D59" s="43"/>
    </row>
    <row r="60" spans="3:5" x14ac:dyDescent="0.25">
      <c r="D60" s="44"/>
    </row>
    <row r="61" spans="3:5" x14ac:dyDescent="0.25">
      <c r="D61" s="44"/>
    </row>
    <row r="62" spans="3:5" x14ac:dyDescent="0.25">
      <c r="D62" s="43"/>
    </row>
    <row r="63" spans="3:5" ht="28.5" x14ac:dyDescent="0.25">
      <c r="C63" s="46" t="s">
        <v>238</v>
      </c>
      <c r="D63" s="46" t="s">
        <v>59</v>
      </c>
      <c r="E63" s="46" t="s">
        <v>60</v>
      </c>
    </row>
    <row r="64" spans="3:5" x14ac:dyDescent="0.25">
      <c r="D64" s="49" t="s">
        <v>244</v>
      </c>
      <c r="E64" s="49" t="s">
        <v>244</v>
      </c>
    </row>
    <row r="65" spans="3:5" x14ac:dyDescent="0.25">
      <c r="D65" s="46" t="s">
        <v>105</v>
      </c>
      <c r="E65" s="46" t="s">
        <v>75</v>
      </c>
    </row>
    <row r="66" spans="3:5" x14ac:dyDescent="0.25">
      <c r="D66" s="49" t="s">
        <v>244</v>
      </c>
      <c r="E66" s="49" t="s">
        <v>244</v>
      </c>
    </row>
    <row r="67" spans="3:5" x14ac:dyDescent="0.25">
      <c r="D67" s="61" t="s">
        <v>245</v>
      </c>
      <c r="E67" s="61"/>
    </row>
    <row r="68" spans="3:5" x14ac:dyDescent="0.25">
      <c r="D68" s="43"/>
    </row>
    <row r="69" spans="3:5" x14ac:dyDescent="0.25">
      <c r="D69" s="44"/>
    </row>
    <row r="70" spans="3:5" x14ac:dyDescent="0.25">
      <c r="D70" s="44"/>
    </row>
    <row r="71" spans="3:5" x14ac:dyDescent="0.25">
      <c r="D71" s="43"/>
    </row>
    <row r="72" spans="3:5" x14ac:dyDescent="0.25">
      <c r="C72" s="46" t="s">
        <v>239</v>
      </c>
      <c r="D72" s="46" t="s">
        <v>59</v>
      </c>
      <c r="E72" s="46" t="s">
        <v>60</v>
      </c>
    </row>
    <row r="73" spans="3:5" x14ac:dyDescent="0.25">
      <c r="D73" s="49" t="s">
        <v>244</v>
      </c>
      <c r="E73" s="49" t="s">
        <v>244</v>
      </c>
    </row>
    <row r="74" spans="3:5" x14ac:dyDescent="0.25">
      <c r="D74" s="46" t="s">
        <v>105</v>
      </c>
      <c r="E74" s="46" t="s">
        <v>75</v>
      </c>
    </row>
    <row r="75" spans="3:5" x14ac:dyDescent="0.25">
      <c r="D75" s="49" t="s">
        <v>244</v>
      </c>
      <c r="E75" s="49" t="s">
        <v>244</v>
      </c>
    </row>
    <row r="76" spans="3:5" x14ac:dyDescent="0.25">
      <c r="D76" s="61" t="s">
        <v>245</v>
      </c>
      <c r="E76" s="61"/>
    </row>
    <row r="77" spans="3:5" x14ac:dyDescent="0.25">
      <c r="D77" s="43"/>
    </row>
    <row r="78" spans="3:5" x14ac:dyDescent="0.25">
      <c r="D78" s="44"/>
    </row>
    <row r="79" spans="3:5" x14ac:dyDescent="0.25">
      <c r="D79" s="44"/>
    </row>
    <row r="80" spans="3:5" x14ac:dyDescent="0.25">
      <c r="D80" s="43"/>
    </row>
    <row r="81" spans="3:5" ht="28.5" x14ac:dyDescent="0.25">
      <c r="C81" s="46" t="s">
        <v>240</v>
      </c>
      <c r="D81" s="46" t="s">
        <v>59</v>
      </c>
      <c r="E81" s="46" t="s">
        <v>60</v>
      </c>
    </row>
    <row r="82" spans="3:5" x14ac:dyDescent="0.25">
      <c r="D82" s="49" t="s">
        <v>244</v>
      </c>
      <c r="E82" s="49" t="s">
        <v>244</v>
      </c>
    </row>
    <row r="83" spans="3:5" x14ac:dyDescent="0.25">
      <c r="D83" s="46" t="s">
        <v>105</v>
      </c>
      <c r="E83" s="46" t="s">
        <v>75</v>
      </c>
    </row>
    <row r="84" spans="3:5" x14ac:dyDescent="0.25">
      <c r="D84" s="49" t="s">
        <v>244</v>
      </c>
      <c r="E84" s="49" t="s">
        <v>244</v>
      </c>
    </row>
    <row r="85" spans="3:5" x14ac:dyDescent="0.25">
      <c r="D85" s="61" t="s">
        <v>245</v>
      </c>
      <c r="E85" s="61"/>
    </row>
    <row r="86" spans="3:5" x14ac:dyDescent="0.25">
      <c r="D86" s="43"/>
    </row>
    <row r="87" spans="3:5" x14ac:dyDescent="0.25">
      <c r="D87" s="44"/>
    </row>
    <row r="88" spans="3:5" x14ac:dyDescent="0.25">
      <c r="D88" s="44"/>
    </row>
    <row r="89" spans="3:5" x14ac:dyDescent="0.25">
      <c r="D89" s="43"/>
    </row>
    <row r="90" spans="3:5" ht="57" x14ac:dyDescent="0.25">
      <c r="C90" s="46" t="s">
        <v>241</v>
      </c>
      <c r="D90" s="46" t="s">
        <v>59</v>
      </c>
      <c r="E90" s="46" t="s">
        <v>60</v>
      </c>
    </row>
    <row r="91" spans="3:5" x14ac:dyDescent="0.25">
      <c r="D91" s="49" t="s">
        <v>244</v>
      </c>
      <c r="E91" s="49" t="s">
        <v>244</v>
      </c>
    </row>
    <row r="92" spans="3:5" x14ac:dyDescent="0.25">
      <c r="D92" s="46" t="s">
        <v>105</v>
      </c>
      <c r="E92" s="46" t="s">
        <v>75</v>
      </c>
    </row>
    <row r="93" spans="3:5" x14ac:dyDescent="0.25">
      <c r="D93" s="49" t="s">
        <v>244</v>
      </c>
      <c r="E93" s="49" t="s">
        <v>244</v>
      </c>
    </row>
    <row r="94" spans="3:5" x14ac:dyDescent="0.25">
      <c r="D94" s="61" t="s">
        <v>245</v>
      </c>
      <c r="E94" s="61"/>
    </row>
    <row r="95" spans="3:5" x14ac:dyDescent="0.25">
      <c r="D95" s="43"/>
    </row>
    <row r="96" spans="3:5" x14ac:dyDescent="0.25">
      <c r="D96" s="44"/>
    </row>
    <row r="97" spans="3:5" x14ac:dyDescent="0.25">
      <c r="D97" s="44"/>
    </row>
    <row r="98" spans="3:5" x14ac:dyDescent="0.25">
      <c r="D98" s="43"/>
    </row>
    <row r="99" spans="3:5" x14ac:dyDescent="0.25">
      <c r="C99" s="46" t="s">
        <v>242</v>
      </c>
      <c r="D99" s="52" t="s">
        <v>207</v>
      </c>
      <c r="E99" s="54"/>
    </row>
    <row r="100" spans="3:5" x14ac:dyDescent="0.25">
      <c r="D100" s="52" t="s">
        <v>208</v>
      </c>
      <c r="E100" s="54"/>
    </row>
    <row r="101" spans="3:5" x14ac:dyDescent="0.25">
      <c r="D101" s="52" t="s">
        <v>209</v>
      </c>
      <c r="E101" s="54"/>
    </row>
    <row r="102" spans="3:5" x14ac:dyDescent="0.25">
      <c r="D102" s="52" t="s">
        <v>210</v>
      </c>
      <c r="E102" s="54"/>
    </row>
    <row r="103" spans="3:5" x14ac:dyDescent="0.25">
      <c r="D103" s="52" t="s">
        <v>211</v>
      </c>
      <c r="E103" s="54"/>
    </row>
    <row r="104" spans="3:5" x14ac:dyDescent="0.25">
      <c r="D104" s="52" t="s">
        <v>212</v>
      </c>
      <c r="E104" s="54"/>
    </row>
    <row r="105" spans="3:5" ht="28.5" x14ac:dyDescent="0.25">
      <c r="D105" s="52" t="s">
        <v>213</v>
      </c>
      <c r="E105" s="54"/>
    </row>
    <row r="106" spans="3:5" x14ac:dyDescent="0.25">
      <c r="D106" s="43"/>
    </row>
    <row r="107" spans="3:5" x14ac:dyDescent="0.25">
      <c r="D107" s="52" t="s">
        <v>243</v>
      </c>
      <c r="E107" s="46">
        <v>0</v>
      </c>
    </row>
    <row r="108" spans="3:5" x14ac:dyDescent="0.25">
      <c r="D108" s="44"/>
    </row>
    <row r="109" spans="3:5" x14ac:dyDescent="0.25">
      <c r="D109" s="43"/>
    </row>
    <row r="110" spans="3:5" ht="28.5" x14ac:dyDescent="0.25">
      <c r="C110" s="53" t="s">
        <v>215</v>
      </c>
      <c r="D110" s="18" t="s">
        <v>216</v>
      </c>
      <c r="E110" s="18" t="s">
        <v>217</v>
      </c>
    </row>
    <row r="111" spans="3:5" ht="30" x14ac:dyDescent="0.25">
      <c r="C111" s="55"/>
      <c r="D111" s="28" t="s">
        <v>218</v>
      </c>
      <c r="E111" s="3" t="s">
        <v>219</v>
      </c>
    </row>
    <row r="112" spans="3:5" ht="30" x14ac:dyDescent="0.25">
      <c r="C112" s="55"/>
      <c r="D112" s="28" t="s">
        <v>220</v>
      </c>
      <c r="E112" s="3" t="s">
        <v>221</v>
      </c>
    </row>
    <row r="113" spans="3:5" ht="45" x14ac:dyDescent="0.25">
      <c r="C113" s="55"/>
      <c r="D113" s="28" t="s">
        <v>222</v>
      </c>
      <c r="E113" s="3" t="s">
        <v>223</v>
      </c>
    </row>
    <row r="114" spans="3:5" ht="30" x14ac:dyDescent="0.25">
      <c r="C114" s="55"/>
      <c r="D114" s="28" t="s">
        <v>224</v>
      </c>
      <c r="E114" s="3" t="s">
        <v>225</v>
      </c>
    </row>
    <row r="115" spans="3:5" x14ac:dyDescent="0.25">
      <c r="C115" s="55"/>
      <c r="D115" s="56" t="s">
        <v>226</v>
      </c>
      <c r="E115" s="57" t="s">
        <v>227</v>
      </c>
    </row>
    <row r="116" spans="3:5" x14ac:dyDescent="0.25">
      <c r="D116" s="43"/>
    </row>
    <row r="117" spans="3:5" x14ac:dyDescent="0.25">
      <c r="D117" s="43"/>
    </row>
    <row r="118" spans="3:5" x14ac:dyDescent="0.25">
      <c r="D118" s="43"/>
    </row>
    <row r="119" spans="3:5" x14ac:dyDescent="0.25">
      <c r="D119" s="43"/>
    </row>
    <row r="120" spans="3:5" x14ac:dyDescent="0.25">
      <c r="D120" s="43"/>
    </row>
    <row r="121" spans="3:5" x14ac:dyDescent="0.25">
      <c r="D121" s="43"/>
    </row>
    <row r="122" spans="3:5" x14ac:dyDescent="0.25">
      <c r="D122" s="43"/>
    </row>
    <row r="123" spans="3:5" x14ac:dyDescent="0.25">
      <c r="D123" s="43"/>
    </row>
    <row r="124" spans="3:5" x14ac:dyDescent="0.25">
      <c r="D124" s="45"/>
    </row>
    <row r="125" spans="3:5" x14ac:dyDescent="0.25">
      <c r="D125" s="43"/>
      <c r="E125" s="60"/>
    </row>
    <row r="126" spans="3:5" x14ac:dyDescent="0.25">
      <c r="D126" s="45"/>
    </row>
    <row r="128" spans="3:5" x14ac:dyDescent="0.25">
      <c r="D128" s="44"/>
    </row>
    <row r="129" spans="4:4" x14ac:dyDescent="0.25">
      <c r="D129" s="45"/>
    </row>
    <row r="130" spans="4:4" x14ac:dyDescent="0.25">
      <c r="D130" s="45"/>
    </row>
    <row r="131" spans="4:4" x14ac:dyDescent="0.25">
      <c r="D131" s="45"/>
    </row>
    <row r="132" spans="4:4" x14ac:dyDescent="0.25">
      <c r="D132" s="45"/>
    </row>
    <row r="133" spans="4:4" x14ac:dyDescent="0.25">
      <c r="D133" s="45"/>
    </row>
    <row r="134" spans="4:4" x14ac:dyDescent="0.25">
      <c r="D134" s="45"/>
    </row>
    <row r="135" spans="4:4" x14ac:dyDescent="0.25">
      <c r="D135" s="45"/>
    </row>
    <row r="136" spans="4:4" x14ac:dyDescent="0.25">
      <c r="D136" s="45"/>
    </row>
  </sheetData>
  <mergeCells count="7">
    <mergeCell ref="D40:E40"/>
    <mergeCell ref="D49:E49"/>
    <mergeCell ref="D85:E85"/>
    <mergeCell ref="D94:E94"/>
    <mergeCell ref="D58:E58"/>
    <mergeCell ref="D67:E67"/>
    <mergeCell ref="D76:E76"/>
  </mergeCells>
  <pageMargins left="0.7" right="0.7" top="0.75" bottom="0.75" header="0.3" footer="0.3"/>
  <pageSetup scale="91" fitToHeight="0" orientation="landscape" horizontalDpi="300" verticalDpi="300" r:id="rId1"/>
  <rowBreaks count="10" manualBreakCount="10">
    <brk id="24" min="2" max="4" man="1"/>
    <brk id="42" min="2" max="4" man="1"/>
    <brk id="51" min="2" max="4" man="1"/>
    <brk id="60" min="2" max="4" man="1"/>
    <brk id="63" min="2" max="4" man="1"/>
    <brk id="64" min="2" max="4" man="1"/>
    <brk id="67" min="2" max="4" man="1"/>
    <brk id="77" min="2" max="4" man="1"/>
    <brk id="97" min="2" max="4" man="1"/>
    <brk id="117" min="2" max="4"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Report</vt:lpstr>
      <vt:lpstr>Characteristics</vt:lpstr>
      <vt:lpstr>DepartmentGoal</vt:lpstr>
      <vt:lpstr>Report!Print_Area</vt:lpstr>
      <vt:lpstr>SuitTable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SamYar</dc:creator>
  <cp:lastModifiedBy>SamYar</cp:lastModifiedBy>
  <cp:lastPrinted>2014-01-06T21:23:20Z</cp:lastPrinted>
  <dcterms:created xsi:type="dcterms:W3CDTF">2014-01-06T19:54:42Z</dcterms:created>
  <dcterms:modified xsi:type="dcterms:W3CDTF">2014-01-10T19:04:10Z</dcterms:modified>
</cp:coreProperties>
</file>